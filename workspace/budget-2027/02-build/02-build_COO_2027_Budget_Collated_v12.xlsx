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17.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xl/comments19.xml" ContentType="application/vnd.openxmlformats-officedocument.spreadsheetml.comment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theme/theme1.xml" ContentType="application/vnd.openxmlformats-officedocument.theme+xml"/>
  <Override PartName="/xl/comments20.xml" ContentType="application/vnd.openxmlformats-officedocument.spreadsheetml.comments+xml"/>
  <Override PartName="/xl/comments18.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6"/>
    <sheet name="HC-PO" sheetId="15" state="visible" r:id="rId17"/>
    <sheet name="HC-CO" sheetId="16" state="visible" r:id="rId18"/>
    <sheet name="HC-FE" sheetId="17" state="visible" r:id="rId19"/>
    <sheet name="HC-PE" sheetId="18" state="visible" r:id="rId20"/>
    <sheet name="HC-COO" sheetId="19" state="visible" r:id="rId21"/>
    <sheet name="Logistics&amp;WH Payroll" sheetId="20"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t>
        </r>
        <r>
          <rPr>
            <b val="true"/>
            <sz val="11"/>
            <color rgb="FF000000"/>
            <rFont val="Tahoma"/>
            <family val="2"/>
            <charset val="1"/>
          </rPr>
          <t xml:space="preserve">Salaries as of October 1, 2026
</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t>
        </r>
        <r>
          <rPr>
            <b val="true"/>
            <sz val="11"/>
            <color rgb="FF000000"/>
            <rFont val="Tahoma"/>
            <family val="2"/>
            <charset val="1"/>
          </rPr>
          <t xml:space="preserve">Salaries as of October 1, 2026
</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t>
        </r>
        <r>
          <rPr>
            <b val="true"/>
            <sz val="11"/>
            <color rgb="FF000000"/>
            <rFont val="Tahoma"/>
            <family val="2"/>
            <charset val="1"/>
          </rPr>
          <t xml:space="preserve">Salaries as of October 1, 2026
</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t>
        </r>
        <r>
          <rPr>
            <b val="true"/>
            <sz val="11"/>
            <color rgb="FF000000"/>
            <rFont val="Tahoma"/>
            <family val="2"/>
            <charset val="1"/>
          </rPr>
          <t xml:space="preserve">Salaries as of October 1, 2026
</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t>
        </r>
        <r>
          <rPr>
            <b val="true"/>
            <sz val="11"/>
            <color rgb="FF000000"/>
            <rFont val="Tahoma"/>
            <family val="2"/>
            <charset val="1"/>
          </rPr>
          <t xml:space="preserve">Salaries as of October 1, 2026
</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Z65" authorId="0">
      <text>
        <r>
          <rPr>
            <sz val="10"/>
            <rFont val="Arial"/>
            <family val="2"/>
          </rPr>
          <t xml:space="preserve">Kent Turner:
</t>
        </r>
        <r>
          <rPr>
            <sz val="9"/>
            <color rgb="FF000000"/>
            <rFont val="Tahoma"/>
            <family val="2"/>
            <charset val="1"/>
          </rPr>
          <t xml:space="preserve">Ending headcount at Dec-2027 (point in time, not a sum of months).</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4" authorId="0">
      <text>
        <r>
          <rPr>
            <sz val="10"/>
            <rFont val="Arial"/>
            <family val="2"/>
          </rPr>
          <t xml:space="preserve">Source: Warehouse Team 2027 Pay Budget, Headcount 2027 tab, cell M13 (2027 base pay total), read Oct 7, 2026. https://docs.google.com/spreadsheets/d/1it7-4qkjEMHpZxHgKe43erQYtZns8sw7pHEkIi_-S1w/edit</t>
        </r>
      </text>
    </comment>
    <comment ref="B55" authorId="0">
      <text>
        <r>
          <rPr>
            <sz val="10"/>
            <rFont val="Arial"/>
            <family val="2"/>
          </rPr>
          <t xml:space="preserve">Source: Warehouse Team 2027 Pay Budget, Headcount 2027 tab, LOG-02 2027 base pay, read Oct 7, 2026.</t>
        </r>
      </text>
    </comment>
    <comment ref="B56" authorId="0">
      <text>
        <r>
          <rPr>
            <sz val="10"/>
            <rFont val="Arial"/>
            <family val="2"/>
          </rPr>
          <t xml:space="preserve">Source: Warehouse Team 2027 Pay Budget, Headcount 2027 tab, MH-05 2027 base pay (10 months at $22/hr), read Oct 7, 2026.</t>
        </r>
      </text>
    </comment>
    <comment ref="B57" authorId="0">
      <text>
        <r>
          <rPr>
            <sz val="10"/>
            <rFont val="Arial"/>
            <family val="2"/>
          </rPr>
          <t xml:space="preserve">Source: Warehouse Team 2027 Pay Budget, Headcount 2027 tab, MH-02 to MH-06 hourly rate, read Oct 7, 2026.</t>
        </r>
      </text>
    </comment>
  </commentList>
</comments>
</file>

<file path=xl/sharedStrings.xml><?xml version="1.0" encoding="utf-8"?>
<sst xmlns="http://schemas.openxmlformats.org/spreadsheetml/2006/main" count="5972" uniqueCount="3220">
  <si>
    <t xml:space="preserve">2027 COO Budget - Collation Notes (build v11, draft for review)</t>
  </si>
  <si>
    <t xml:space="preserve">CONFIDENTIAL – contains named compensation data (HC-* tabs); restrict distribution</t>
  </si>
  <si>
    <t xml:space="preserve">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</si>
  <si>
    <t xml:space="preserve">Decisions pending (user) - not resolved by the builder (v10: #6 RESOLVED by the user)</t>
  </si>
  <si>
    <t xml:space="preserve">#</t>
  </si>
  <si>
    <t xml:space="preserve">Decision (user)</t>
  </si>
  <si>
    <t xml:space="preserve">Issue</t>
  </si>
  <si>
    <t xml:space="preserve">Current treatment in the budget</t>
  </si>
  <si>
    <t xml:space="preserve">Alternatives: effect on 2027 COO contribution (+ raises, ( ) lowers)</t>
  </si>
  <si>
    <t xml:space="preserve">Who</t>
  </si>
  <si>
    <t xml:space="preserve">1</t>
  </si>
  <si>
    <t xml:space="preserve">RESOLVED (user-confirmed 2026-10-10: 'production labor is capitalized. Use the same formula as the file has.'). Production labour: expensed, or capitalised into the unit cost?</t>
  </si>
  <si>
    <t xml:space="preserve">I-05 (RESOLVED), I-23, I-40</t>
  </si>
  <si>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t>
  </si>
  <si>
    <t xml:space="preserve">Resolved. The scope (current staff, Sep-Dec 26 labour, idle months) is Decision #10.</t>
  </si>
  <si>
    <t xml:space="preserve">User (resolved)</t>
  </si>
  <si>
    <t xml:space="preserve">2</t>
  </si>
  <si>
    <t xml:space="preserve">SlipBot fleet status (5010 depreciation)</t>
  </si>
  <si>
    <t xml:space="preserve">I-32</t>
  </si>
  <si>
    <t xml:space="preserve">Carried flat at the PO Dec-26 run rate 112,797.85/month = 1,353,574 in 2027 (builder assumption, A-17).</t>
  </si>
  <si>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</si>
  <si>
    <t xml:space="preserve">User, with PO/Finance (fixed-asset register)</t>
  </si>
  <si>
    <t xml:space="preserve">3</t>
  </si>
  <si>
    <t xml:space="preserve">Q4-26 go-lives: PO run rate or DeploySum</t>
  </si>
  <si>
    <t xml:space="preserve">I-31</t>
  </si>
  <si>
    <t xml:space="preserve">Inside the PO Dec-26 run rate: PO steps up for 15 lifts / 53 trays (DeploySum: 18 / 67).</t>
  </si>
  <si>
    <t xml:space="preserve">Sep-26 run rate + DeploySum Oct-Dec 26 vintages: (39,057). If PO's Dec-26 step-up (3 lifts, 12 trays) is Jan-27 units already in the Jan-27 vintage and PO's Oct/Nov counts are right: +37,457. Keep as is: 0.</t>
  </si>
  <si>
    <t xml:space="preserve">User, after the PO owner says what the Q4-26 step-ups are</t>
  </si>
  <si>
    <t xml:space="preserve">4</t>
  </si>
  <si>
    <t xml:space="preserve">SlipLift peripherals: GL and useful life</t>
  </si>
  <si>
    <t xml:space="preserve">I-33</t>
  </si>
  <si>
    <t xml:space="preserve">5020 Robot Peripherals, 84 months: 63,836 of 2027 depreciation (builder assumption, A-10/A-11).</t>
  </si>
  <si>
    <t xml:space="preserve">GL 5011 instead of 5020: 0 (moves 63,836 from PO row 22 to row 20). Life 60 months: (25,534). Life 120 months: +19,151.</t>
  </si>
  <si>
    <t xml:space="preserve">User</t>
  </si>
  <si>
    <t xml:space="preserve">5</t>
  </si>
  <si>
    <t xml:space="preserve">Revenue split across 4100 / 4500 / 4900</t>
  </si>
  <si>
    <t xml:space="preserve">I-01 (A-02, A-03)</t>
  </si>
  <si>
    <t xml:space="preserve">All 15,563,646 of plan revenue on 4100; 4500 and 4900 = 0 (orchestrator assumption).</t>
  </si>
  <si>
    <t xml:space="preserve">Split the plan revenue across the three lines: 0 (classification only; gross margin unchanged). Budget implementation / one-time revenue in addition to the plan: not determinable (2026 4500 + 4900: 1,060,861).</t>
  </si>
  <si>
    <t xml:space="preserve">User / Finance</t>
  </si>
  <si>
    <t xml:space="preserve">6</t>
  </si>
  <si>
    <t xml:space="preserve">RESOLVED (user decision 2026-10-10: 'The WH and logistics numbers should hit central operations, along with [the named CO employee]'; 'Yes, the material handler should move to CO.'). Warehouse payroll (Logistics&amp;WH) and the material-handling roles</t>
  </si>
  <si>
    <t xml:space="preserve">I-17 (RESOLVED), I-41</t>
  </si>
  <si>
    <t xml:space="preserve">Booked in v10: CO 6610-6640 (2027) = CO HC roster (incl. the new CO employee (user-confirmed, 110k)) + the Logistics&amp;WH model less seat LOG-01 (already CO HC r17): 398,492 = the 7 new seats 336,530 + MH-01 61,963, at the model's rates (6.8% / 16.4%); new-hire cost 5,000 to 6610. MH-01 (= PO HC r20) is out of the PO 5110-5140 B131 base.</t>
  </si>
  <si>
    <t xml:space="preserve">Resolved. Still open: PO HC r16 Material Handling Team Lead on the 7-of-9 reading (I-41): (72,061) if its cost stays an expense, 0 if r16 fills TL-01. Logistics at CO HC burden rates: +19,396.</t>
  </si>
  <si>
    <t xml:space="preserve">User (resolved); PO owner for r16</t>
  </si>
  <si>
    <t xml:space="preserve">7</t>
  </si>
  <si>
    <t xml:space="preserve">One person probably costed in both FO and FE</t>
  </si>
  <si>
    <t xml:space="preserve">I-28</t>
  </si>
  <si>
    <t xml:space="preserve">Probably costed twice (name match only; title and salary differ; likely FO-&gt;FE move): one of the 14 current techs in Fld Ops Payroll and Fld Eng Budget row 15.</t>
  </si>
  <si>
    <t xml:space="preserve">Remove from FO (B11 14 -&gt; 13): +78,529 (payroll +78,198, 5330 +331). Remove from FE (row 15): +93,093. Pro rata if the move happens mid-year.</t>
  </si>
  <si>
    <t xml:space="preserve">SD / FO owners</t>
  </si>
  <si>
    <t xml:space="preserve">8</t>
  </si>
  <si>
    <t xml:space="preserve">FE payroll tax and benefit rates</t>
  </si>
  <si>
    <t xml:space="preserve">I-34</t>
  </si>
  <si>
    <t xml:space="preserve">SD field rates 6.8% / 16.4% on FE salaries.</t>
  </si>
  <si>
    <t xml:space="preserve">FE HC (T&amp;B) rates 4.069% / 7.223%: +109,539. Keep: 0. Caveat: the HC T&amp;B tax rates are below the 7.65% employer FICA and unverified (I-37); with the FE tax rate at 7.65%: +76,600.</t>
  </si>
  <si>
    <t xml:space="preserve">9</t>
  </si>
  <si>
    <t xml:space="preserve">PE 'transfer?' row (Head of Production and Delivery)</t>
  </si>
  <si>
    <t xml:space="preserve">I-35</t>
  </si>
  <si>
    <t xml:space="preserve">In PE 6610-6640 for all of 2027 (254,785).</t>
  </si>
  <si>
    <t xml:space="preserve">Leaves COO from Jan-27: +254,785. Moves within COO: 0 (budget it once, on the receiving department). Stays: 0.</t>
  </si>
  <si>
    <t xml:space="preserve">PE owner</t>
  </si>
  <si>
    <t xml:space="preserve">10</t>
  </si>
  <si>
    <t xml:space="preserve">Scope of the capitalisation policy: are the 9 current production staff capitalised too, and is the labour of months with no builds (idle months) capitalised or expensed? 2026 expensed COO 5100 production labour, so the 2026 policy may have been partial.</t>
  </si>
  <si>
    <t xml:space="preserve">I-40</t>
  </si>
  <si>
    <t xml:space="preserve">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</si>
  <si>
    <t xml:space="preserve">Current staff expensed (sensitivity): (558,996) -&gt; (399,860). Idle-month labour expensed (B135 = 0): (126,908) -&gt; 32,228 (with the current staff expensed too: (480,264)). All Sep-Dec 26 labour capitalised (B132 = 1; only with a 2026 restatement): (60,695) -&gt; 98,441. Each is one switch on the Depreciation Schedule; the workbook recalculates.</t>
  </si>
  <si>
    <t xml:space="preserve">Headline: 2027 COO contribution (live formulas on COO P&amp;L)</t>
  </si>
  <si>
    <t xml:space="preserve">Line</t>
  </si>
  <si>
    <t xml:space="preserve">COO P&amp;L row</t>
  </si>
  <si>
    <t xml:space="preserve">2026 (N)</t>
  </si>
  <si>
    <t xml:space="preserve">2027 (AG)</t>
  </si>
  <si>
    <t xml:space="preserve">Change</t>
  </si>
  <si>
    <t xml:space="preserve">% (n/m if base &lt;= 0 or sign flips)</t>
  </si>
  <si>
    <t xml:space="preserve">2027 in v9 (value)</t>
  </si>
  <si>
    <t xml:space="preserve">Revenue (company recognized revenue, 9/30/26 sales plan)</t>
  </si>
  <si>
    <t xml:space="preserve">16</t>
  </si>
  <si>
    <t xml:space="preserve">COGS (COO departments)</t>
  </si>
  <si>
    <t xml:space="preserve">63</t>
  </si>
  <si>
    <t xml:space="preserve">  of which depreciation (in COGS)</t>
  </si>
  <si>
    <t xml:space="preserve">19-22</t>
  </si>
  <si>
    <t xml:space="preserve">Gross Profit</t>
  </si>
  <si>
    <t xml:space="preserve">64</t>
  </si>
  <si>
    <t xml:space="preserve">Opex (COO departments)</t>
  </si>
  <si>
    <t xml:space="preserve">116</t>
  </si>
  <si>
    <t xml:space="preserve">COO contribution before other income (workbook label 'Net Ordinary Income')</t>
  </si>
  <si>
    <t xml:space="preserve">117</t>
  </si>
  <si>
    <t xml:space="preserve">Net Other Income</t>
  </si>
  <si>
    <t xml:space="preserve">131</t>
  </si>
  <si>
    <t xml:space="preserve">COO contribution (workbook label 'Net Income')</t>
  </si>
  <si>
    <t xml:space="preserve">132</t>
  </si>
  <si>
    <t xml:space="preserve">Caveats on the headline (read before using the figure)</t>
  </si>
  <si>
    <t xml:space="preserve">(0) v10 (user decision 2026-10-10): the Logistics &amp; Warehouse payroll and the new CO employee (user-confirmed, 110k) are booked in Central Operations. CO 6610-6640 2027 618,961 -&gt; 1,147,260: Logistics&amp;WH less LOG-01 398,492 (7 new seats 336,530, MH-01 61,963; model rates), new CO employee (user-confirmed, 110k) 129,806 (CO HC rates). The contribution moves from 687,435 to 159,136. Production labour stays capitalised (Decision #1): 2027 CapEx +2,592,894, labour depreciation 104,417. Scope sensitivity (current staff expensed): (399,860); idle-month labour expensed: 32,228.</t>
  </si>
  <si>
    <t xml:space="preserve">(0b) Year on year is not like-for-like: 2026 expensed production labour, 2027 capitalises it. Policy effect in v10: +2,448,290 (PO 5110-5140 at B131 = 0 590,318 + the ramp 1,962,389 - booked labour depreciation 104,417; v9 +2,510,793): on the 2026 policy the 2027 contribution would be (2,289,154).</t>
  </si>
  <si>
    <t xml:space="preserve">(1) What the figure is. The bottom line, 159,136, is a COO contribution: the company's recognized revenue (15,563,646, all of it) less the costs of the five COO departments only (COGS + Opex of FO, PO, CO, FE, PE: 15,404,509). It is not company Net Income; the workbook row keeps its GL label 'Net Income' (COO P&amp;L!A132).</t>
  </si>
  <si>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</si>
  <si>
    <t xml:space="preserve">(3) Open exposures, each on its own against the headline. 'n/d' = not determinable from the workbook. Rows marked 'Carried from v9' have inputs v10 does not touch (the v9 -&gt; v10 diff shows 0 changes there); the switch rows are recalculated on v10.</t>
  </si>
  <si>
    <t xml:space="preserve">Item</t>
  </si>
  <si>
    <t xml:space="preserve">Direction</t>
  </si>
  <si>
    <t xml:space="preserve">What could happen</t>
  </si>
  <si>
    <t xml:space="preserve">Effect on 2027 COO contribution</t>
  </si>
  <si>
    <t xml:space="preserve">Contribution after this item alone</t>
  </si>
  <si>
    <t xml:space="preserve">Source cells</t>
  </si>
  <si>
    <t xml:space="preserve">Decision #10 scope: current 9 expensed (sensitivity, not booked)</t>
  </si>
  <si>
    <t xml:space="preserve">downside</t>
  </si>
  <si>
    <t xml:space="preserve">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</si>
  <si>
    <t xml:space="preserve">'Depreciation Schedule'!B131; PO!U33:AF35; 'HC-PO'!M20:X20</t>
  </si>
  <si>
    <t xml:space="preserve">I-40 idle-month labour expensed (critic v8 B2; not booked)</t>
  </si>
  <si>
    <t xml:space="preserve">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</si>
  <si>
    <t xml:space="preserve">'Depreciation Schedule'!B135, rows 221-228; PO!U33:AF35</t>
  </si>
  <si>
    <t xml:space="preserve">Decision #10 scope: all Sep-Dec 26 labour capitalised (B132 = 1; only with a 2026 restatement)</t>
  </si>
  <si>
    <t xml:space="preserve">Sep-Dec 26 model labour joins the Nov-26 and Jan-Feb 27 go-lives and is depreciated in 2027. Double counts the 2026 PO forecast unless 2026 is restated. Recalculated; unchanged from v9. Not in the range.</t>
  </si>
  <si>
    <t xml:space="preserve">'Depreciation Schedule'!B132; rows 231-232</t>
  </si>
  <si>
    <t xml:space="preserve">Labour already in the 65,000 / 8,000 unit cost (critic v8 O1)</t>
  </si>
  <si>
    <t xml:space="preserve">upside</t>
  </si>
  <si>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</si>
  <si>
    <t xml:space="preserve">DeploySum!A47; 'Depreciation Schedule'!R195</t>
  </si>
  <si>
    <t xml:space="preserve">I-41 (7-overlap): Material Handling Team Lead stays expensed</t>
  </si>
  <si>
    <t xml:space="preserve">v10: PO HC r20 Material Handler (= MH-01) is now booked in CO through the Logistics&amp;WH model (user decision), so I-41 is down to PO HC r16 Material Handling Team Lead. On the 7-of-9 role reading r16 is warehouse staff, not production labour; PO 5110-5140 = 0 removes it and no expense line carries it: its 2027 cost at PO HC rates. 0 if r16 fills Logistics&amp;WH seat TL-01 (same title, Dec-26 start; then costed in CO). v9 (r16 + r20): (134,563).</t>
  </si>
  <si>
    <t xml:space="preserve">'HC-PO'!C16:Z16, D6:D7; PO!U33:AF35; Logistics&amp;WH TL-01</t>
  </si>
  <si>
    <t xml:space="preserve">MH-01 on the 9-of-9 count reading: capitalised in PO and expensed in CO (v10)</t>
  </si>
  <si>
    <t xml:space="preserve">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t>
  </si>
  <si>
    <t xml:space="preserve">'Depreciation Schedule'!B214, R195, B236; Prod Payroll B9:C9</t>
  </si>
  <si>
    <t xml:space="preserve">Logistics&amp;WH seats at CO HC burden rates instead of the model's (v10)</t>
  </si>
  <si>
    <t xml:space="preserve">v10 books the logistics seats at the model's own rates (payroll tax 6.8%, benefits 16.4%: 'the WH and logistics numbers'). CO HC rates are 5.22% / 11.91%. On the 319,393 of 2027 logistics salaries in CO: burden 74,099 booked vs 54,703 at CO HC rates. Both CO HC rates are unverified (I-37).</t>
  </si>
  <si>
    <t xml:space="preserve">'Logistics&amp;WH Payroll'!B5:B6; 'HC-CO'!D6:D7; CO!U68:AF69</t>
  </si>
  <si>
    <t xml:space="preserve">New CO employee start month (A-43; new CO employee (user-confirmed, 110k))</t>
  </si>
  <si>
    <t xml:space="preserve">Booked as in seat all of 2027 (HC-CO r18, Jan-27 start, CO HC rates, 3% from Oct-27). Each month the start is later lowers 2027 cost by ~10,000 (Jan-Sep monthly cost incl. CO HC burden).</t>
  </si>
  <si>
    <t xml:space="preserve">per month later: ~10,000</t>
  </si>
  <si>
    <t xml:space="preserve">-</t>
  </si>
  <si>
    <t xml:space="preserve">'HC-CO'!E18, M18:X18</t>
  </si>
  <si>
    <t xml:space="preserve">I-05 burden (O1), capitalised</t>
  </si>
  <si>
    <t xml:space="preserve">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 v11 precision note: computed on the 9-person current-staff base carried from v9; on the v10 8-person base (PO HC r20 in CO) it moves by well under $1k - immaterial; the carried figure is kept.</t>
  </si>
  <si>
    <t xml:space="preserve">Prod Payroll!B6:C7, H6:H7; 'HC-PO'!D6:D7</t>
  </si>
  <si>
    <t xml:space="preserve">Rate base of the current 9 (critic v8 O7)</t>
  </si>
  <si>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 v11 precision note: computed on the 9-person current-staff base carried from v9; on the v10 8-person base (PO HC r20 in CO) it moves by well under $1k - immaterial; the carried figure is kept.</t>
  </si>
  <si>
    <t xml:space="preserve">PO!U33:AF35 (v7 amounts); 'Depreciation Schedule'!B214</t>
  </si>
  <si>
    <t xml:space="preserve">I-17</t>
  </si>
  <si>
    <t xml:space="preserve">RESOLVED</t>
  </si>
  <si>
    <t xml:space="preserve">RESOLVED (user decision 2026-10-10): the Logistics&amp;WH model is booked in CO 6610-6640, less seat LOG-01 (already on CO HC r17): 398,492 in the headline (the 7 new seats 336,530 + MH-01 61,963 at model rates). v9 showed it as a downside of (336,530) to (471,093) depending on the reading.</t>
  </si>
  <si>
    <t xml:space="preserve">0 (now in the headline)</t>
  </si>
  <si>
    <t xml:space="preserve">CO!U67:AF69; 'Logistics&amp;WH Payroll'!rows 34-46</t>
  </si>
  <si>
    <t xml:space="preserve">I-10</t>
  </si>
  <si>
    <t xml:space="preserve">FO/FE lines with 2026 spend budgeted at 0 for 2027 (5920 software, 6610 SG&amp;A salaries, 7200 contractors); effect if they continue at the 2026 level.</t>
  </si>
  <si>
    <t xml:space="preserve">FO!N58, N67, N91; FE!N91 (AG = 0)</t>
  </si>
  <si>
    <t xml:space="preserve">I-26</t>
  </si>
  <si>
    <t xml:space="preserve">RESOLVED (user-confirmed 2026-10-09): Head of Service Delivery salary 205,000/year entered in v5 and now inside the headline (2027 cost 254,454: salary 206,538 + payroll tax 14,045 + benefits 33,872; v4 contribution was 393,486). No remaining exposure.</t>
  </si>
  <si>
    <t xml:space="preserve">Fld Eng Budget!B21 = 205,000</t>
  </si>
  <si>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</si>
  <si>
    <t xml:space="preserve">Fld Ops Payroll!B11, rows 20-24; Fld Maint Budget!B29</t>
  </si>
  <si>
    <t xml:space="preserve">Same person: remove from FE instead (Fld Eng Budget row 15, at SD burden rates). Pro rata if the move happens mid-year.</t>
  </si>
  <si>
    <t xml:space="preserve">Fld Eng Budget!B15; rows 61, 69-70</t>
  </si>
  <si>
    <t xml:space="preserve">two-way</t>
  </si>
  <si>
    <t xml:space="preserve">Shortfall if DeploySum's Q4-26 go-lives are right (3 lifts, 14 trays more than PO's run rate).</t>
  </si>
  <si>
    <t xml:space="preserve">PO!J20:M21; DeploySum!C19:E20</t>
  </si>
  <si>
    <t xml:space="preserve">Double count if PO's Dec-26 step-up (3 lifts, 12 trays; DeploySum Dec-26 go-lives 0) is Jan-27 units (20 lifts, 60 trays go live Jan-27, built Nov-26). Excludes the 5020 Dec step (+12,300 more if it is the same units).</t>
  </si>
  <si>
    <t xml:space="preserve">PO!L20:M21; DeploySum!E19:F20</t>
  </si>
  <si>
    <t xml:space="preserve">SlipBot fleet fully depreciated or retired from Jan-27 (5010 = 0).</t>
  </si>
  <si>
    <t xml:space="preserve">PO!M19; 'Depreciation Schedule'!B21</t>
  </si>
  <si>
    <t xml:space="preserve">Trend alternative: 5010 keeps falling at the 2026 rate (141,122 Jan-26 -&gt; 112,798 Sep-26, (3,541)/month).</t>
  </si>
  <si>
    <t xml:space="preserve">PO!B19, J19, M19</t>
  </si>
  <si>
    <t xml:space="preserve">Trend alternative continued from Sep-26: the same (3,541)/month decline also runs through Oct-Dec 26, so Jan-27 starts 4 months below Sep-26 (98,636 in Jan-27, 59,689 in Dec-27; floored at 0, 0 months at the floor).</t>
  </si>
  <si>
    <t xml:space="preserve">Peripherals life 60 months instead of 84 (a longer life, e.g. 120 months, gives the opposite sign).</t>
  </si>
  <si>
    <t xml:space="preserve">'Depreciation Schedule'!B11</t>
  </si>
  <si>
    <t xml:space="preserve">FE payroll tax and benefits at the FE HC rates (4.069% / 7.223%) instead of the SD rates (6.8% / 16.4%) on the same FE salary base.</t>
  </si>
  <si>
    <t xml:space="preserve">Fld Eng Budget!B22:B23; 'HC-FE'!D6:D7; FE!AG68:AG69</t>
  </si>
  <si>
    <t xml:space="preserve">I-34 with FE tax at 7.65%</t>
  </si>
  <si>
    <t xml:space="preserve">The HC T&amp;B tax rates are below the 7.65% employer FICA and unverified (I-37). If FE payroll tax cannot be below 7.65%, the 6630 part of I-34 (+25,120) goes and the SD 6.8% is short: upside benefits only.</t>
  </si>
  <si>
    <t xml:space="preserve">'HC-FE'!D6:D7; Fld Eng Budget!B22:B23</t>
  </si>
  <si>
    <t xml:space="preserve">I-37</t>
  </si>
  <si>
    <t xml:space="preserve">CO and PE payroll tax below 7.65% (upper bound on every salary dollar). v10: the CO base now includes the new CO employee (user-confirmed, 110k) at the CO HC rate (5.22%) and the logistics salaries at the model rate (6.8%): CO HC 15,525 + logistics 2,715 + PE 43,967. v9: (56,801).</t>
  </si>
  <si>
    <t xml:space="preserve">'HC-CO'!D6, Z67; 'Logistics&amp;WH Payroll'!B5; 'HC-PE'!D6; CO!AG68; PE!AG68</t>
  </si>
  <si>
    <t xml:space="preserve">FO and FE payroll tax uses the SD field rate 6.8%, also below 7.65% (same upper-bound basis; FO salary base 3,100,031 incl. the ramp, FE 919,884).</t>
  </si>
  <si>
    <t xml:space="preserve">Fld Ops Payroll!B7; Fld Eng Budget!B22</t>
  </si>
  <si>
    <t xml:space="preserve">PE HC r22 Head of Production and Delivery ('transfer?') leaves COO from Jan-27. 0 if the role moves to another COO department and is budgeted there once.</t>
  </si>
  <si>
    <t xml:space="preserve">'HC-PE'!A22, Z22; PE!AG67:AG69</t>
  </si>
  <si>
    <t xml:space="preserve">I-36</t>
  </si>
  <si>
    <t xml:space="preserve">The Aug-27 Customer Support Specialist hire on Fld Eng Budget (not on FE HC) is not approved.</t>
  </si>
  <si>
    <t xml:space="preserve">Fld Eng Budget!B19:C19, row 65</t>
  </si>
  <si>
    <t xml:space="preserve">I-39</t>
  </si>
  <si>
    <t xml:space="preserve">FE HC r35 Field Engineer Manager is an open seat (HC-FE 'Open Positions'), not an employee; COO book _2 leaves it out and Fld Eng Budget r20 costs it from Jan-27. If the seat stays open all of 2027 (salary + SD burden).</t>
  </si>
  <si>
    <t xml:space="preserve">'HC-FE'!B34:F35; Fld Eng Budget!A20:C20, row 66</t>
  </si>
  <si>
    <t xml:space="preserve">A-14</t>
  </si>
  <si>
    <t xml:space="preserve">Depreciation convention: mid-month in the go-live month instead of a full month (new units and, from v8, their capitalised labour: +10,487 of it).</t>
  </si>
  <si>
    <t xml:space="preserve">'Depreciation Schedule'!B13</t>
  </si>
  <si>
    <t xml:space="preserve">Depreciation convention: start the month after go-live (B13 = 1), recalculated on v10 (same as v9).</t>
  </si>
  <si>
    <t xml:space="preserve">'Depreciation Schedule'!B13 = 1</t>
  </si>
  <si>
    <t xml:space="preserve">A-22</t>
  </si>
  <si>
    <t xml:space="preserve">Revenue rests on unsigned / forecast bookings (Sep-Dec 26 includes 2,264,000 unsigned at 100%). Revenue effect not determinable from the workbook.</t>
  </si>
  <si>
    <t xml:space="preserve">n/d</t>
  </si>
  <si>
    <t xml:space="preserve">DeploySum!A49 (note 5), row 40</t>
  </si>
  <si>
    <t xml:space="preserve">Sign-flip statement (computed, v10): with the Logistics&amp;WH payroll and the new CO employee (user-confirmed, 110k) booked in CO, the 2027 COO contribution is 159,136 (v9 687,435). Single quantified items that turn it negative: the sensitivity (current 9 expensed) (558,996) -&gt; (399,860); I-10 (384,425) -&gt; (225,288). The other downsides leave it positive on their own (smallest remaining: idle-month labour expensed (I-40) 32,228; I-41 (7-overlap): Material Handling Team Lead stays expensed 87,076; I-31 shortfall 120,079). Pairs of the remaining range components (idle months, I-41, I-31 shortfall, I-05 burden, O7) that turn it negative: idle-month labour expensed (I-40) + I-41 (7-overlap): Material Handling Team Lead stays expensed (39,833); idle-month labour expensed (I-40) + I-31 shortfall (6,829). With both switches the sensitivity + idle-month pair is recalculated, not added: (480,264). With costs held fixed, revenue 159,136 (1.0%) below plan also takes the contribution to zero.</t>
  </si>
  <si>
    <t xml:space="preserve">Upside: I-32 can add up to 1,353,574 (contribution 1,512,711); the trend alternative adds 276,164 (435,300), or 403,624 (562,761) if the decline also ran through Oct-Dec 26. Labour already in the unit cost (O1): up to +104,417 (263,553). Logistics at CO HC burden rates +19,396; MH-01 on the 9-of-9 reading +2,821.</t>
  </si>
  <si>
    <t xml:space="preserve">Range (v10): asymmetric by construction, as in v7-v9. Lower bound 1, booked policy, all quantified downsides (I-41 (7-overlap): Material Handling Team Lead stays expensed (72,061); I-10 (384,425); I-31 shortfall (39,057); I-05 burden capitalised (5,715); rate base of the current 9 (O7) (899); idle-month labour expensed (I-40) (126,908)): (469,929). Lower bound 2, the same under the scope sensitivity, components at B131 = 0 (sensitivity: current 9 expensed (558,996); I-10 (384,425); I-31 shortfall (39,057); I-05 burden capitalised, at the B131 = 0 rate (5,286); idle-month labour expensed, at B131 = 0 (80,404); I-41 is 0 there: r16 is expensed in PO 5110-5140): (909,032). Upper end, I-32 in full only: 1,512,711. Not in the range: I-37 (unverified upper bound); B132 = 1 (only with a 2026 restatement); the O1, burden-rate and 9-of-9 MH-01 upsides. The I-17 terms of v9 are gone (booked). v9 range: (340,662) to 2,041,009 (lower bound 2 (841,728)).</t>
  </si>
  <si>
    <t xml:space="preserve">Conclusion: booking the Logistics&amp;WH payroll (398,492) and the new CO employee (user-confirmed, 110k) in CO lowers the 2027 COO contribution from 687,435 (v9) to 159,136. Two single items now turn it negative on their own (the scope sensitivity, Decision #10, and I-10, the FO/FE lines budgeted at 0), and two pairs of smaller downsides do as well. Treat 159,136 as a point estimate inside (469,929) to 1,512,711 (lower bound 2: (909,032)) until Decisions #10 (I-40) and #2 (I-32) are answered, I-10 is confirmed, and the PO owner says whether the Material Handling Team Lead (I-41) fills TL-01.</t>
  </si>
  <si>
    <t xml:space="preserve">v7-v9 sign-flip and range statements: see 02-build_notes_v9.md.</t>
  </si>
  <si>
    <t xml:space="preserve">Logistics &amp; Warehouse payroll booked in CO; new CO employee (v10, user decision 2026-10-10; I-17 RESOLVED)</t>
  </si>
  <si>
    <t xml:space="preserve">CO 6610 = 'HC-CO'!row 67 + 'Logistics&amp;WH Payroll'!row 43 - row 34 + row 46; 6630 = 'HC-CO'!row 68 + row 44 - row 34 x B5; 6640 = 'HC-CO'!row 69 + row 45 - row 34 x B6 (2027 months U:AF &lt;- F:Q / M:X). Seat LOG-01 (row 34) is CO HC r17 and is excluded by formula. MH-01 (row 38) = PO HC r20, now out of the PO 5110-5140 base. New-hire cost -&gt; 6610 (A-45). v11: the 'Check (must be 0)' column (H78:H81) holds live formulas (CO!AG67:AG69 less 'HC-CO'!Z67:Z69 less 'Logistics&amp;WH Payroll' S43:S45 net of LOG-01 row 34, + S46 new-hire cost on 6610; H81 = SUM(H78:H80)); previously static values. Cached values are the LibreOffice recalculation of this workbook.</t>
  </si>
  <si>
    <t xml:space="preserve">new CO employee (user-confirmed, 110k): HC-CO r18, 110,000 a year, Jan-27 to Dec-27, +3% from Oct-27, CO HC rates 5.221% / 11.906%: 2027 salary 110,825.00, tax 5,786.68, benefits 13,194.61, total 129,806.29 (A-43).</t>
  </si>
  <si>
    <t xml:space="preserve">GL (CO, 2027)</t>
  </si>
  <si>
    <t xml:space="preserve">v9</t>
  </si>
  <si>
    <t xml:space="preserve">CO HC roster, 5 existing people</t>
  </si>
  <si>
    <t xml:space="preserve">new CO employee (user-confirmed, 110k) (HC-CO r18)</t>
  </si>
  <si>
    <t xml:space="preserve">Logistics&amp;WH less LOG-01</t>
  </si>
  <si>
    <t xml:space="preserve">v10</t>
  </si>
  <si>
    <t xml:space="preserve">v10 - v9</t>
  </si>
  <si>
    <t xml:space="preserve">Check (must be 0)</t>
  </si>
  <si>
    <t xml:space="preserve">6610 Salaries and Wages (incl. new-hire cost)</t>
  </si>
  <si>
    <t xml:space="preserve">6630 Payroll Taxes</t>
  </si>
  <si>
    <t xml:space="preserve">6640 Benefits</t>
  </si>
  <si>
    <t xml:space="preserve">Total 6610-6640</t>
  </si>
  <si>
    <t xml:space="preserve">Logistics&amp;WH seats (model rates 6.8% / 16.4%; 2027)</t>
  </si>
  <si>
    <t xml:space="preserve">Seat</t>
  </si>
  <si>
    <t xml:space="preserve">Team</t>
  </si>
  <si>
    <t xml:space="preserve">Start</t>
  </si>
  <si>
    <t xml:space="preserve">Annual base</t>
  </si>
  <si>
    <t xml:space="preserve">2027 salary</t>
  </si>
  <si>
    <t xml:space="preserve">2027 cost at model rates (incl. new-hire cost)</t>
  </si>
  <si>
    <t xml:space="preserve">Booked in CO 6610-6640?</t>
  </si>
  <si>
    <t xml:space="preserve">LOG-01 Logistics Manager</t>
  </si>
  <si>
    <t xml:space="preserve">Central Operations</t>
  </si>
  <si>
    <t xml:space="preserve">on payroll</t>
  </si>
  <si>
    <t xml:space="preserve">no: already CO HC r17 Field Logistics Manager (CO HC rates); excluded by formula (row 43 - row 34)</t>
  </si>
  <si>
    <t xml:space="preserve">INV-01 Inventory Control Specialist</t>
  </si>
  <si>
    <t xml:space="preserve">Inventory control</t>
  </si>
  <si>
    <t xml:space="preserve">Feb-27</t>
  </si>
  <si>
    <t xml:space="preserve">yes: new seat (no HC roster)</t>
  </si>
  <si>
    <t xml:space="preserve">TL-01 Material Handling Team Lead</t>
  </si>
  <si>
    <t xml:space="preserve">Receiving &amp; putaway</t>
  </si>
  <si>
    <t xml:space="preserve">Dec-26</t>
  </si>
  <si>
    <t xml:space="preserve">yes: new seat (no HC roster); same title as PO HC r16 (I-41); hired Dec-26, on no roster (I-38)</t>
  </si>
  <si>
    <t xml:space="preserve">TL-02 Material Handling Team Lead</t>
  </si>
  <si>
    <t xml:space="preserve">Kitting &amp; line replenishment</t>
  </si>
  <si>
    <t xml:space="preserve">Jul-27</t>
  </si>
  <si>
    <t xml:space="preserve">MH-01 Material Handler</t>
  </si>
  <si>
    <t xml:space="preserve">yes: = PO HC r20 Material Handler (moved PO -&gt; CO; out of the PO B131 base)</t>
  </si>
  <si>
    <t xml:space="preserve">MH-02 Material Handler</t>
  </si>
  <si>
    <t xml:space="preserve">Oct-26</t>
  </si>
  <si>
    <t xml:space="preserve">yes: new seat (no HC roster); hired Oct-26, on no roster (I-38)</t>
  </si>
  <si>
    <t xml:space="preserve">MH-06 Material Handler</t>
  </si>
  <si>
    <t xml:space="preserve">MH-03 Material Handler</t>
  </si>
  <si>
    <t xml:space="preserve">Mar-27</t>
  </si>
  <si>
    <t xml:space="preserve">MH-04 Material Handler</t>
  </si>
  <si>
    <t xml:space="preserve">Jun-27</t>
  </si>
  <si>
    <t xml:space="preserve">Total booked in CO (8 seats)</t>
  </si>
  <si>
    <t xml:space="preserve">tax 21,719, benefits 52,380, new-hire cost 5,000</t>
  </si>
  <si>
    <t xml:space="preserve">Model total (9 seats)</t>
  </si>
  <si>
    <t xml:space="preserve"> 'Logistics&amp;WH Payroll'!S47; LOG-01 148,949</t>
  </si>
  <si>
    <t xml:space="preserve">Head of Service Delivery salary (I-26, RESOLVED in v5)</t>
  </si>
  <si>
    <t xml:space="preserve">Input: Fld Eng Budget!B21 = 205,000 (annual salary, user-confirmed 2026-10-09: 'Head of Service delivery salary is $205k annually'). This is the only typed input that changed; no formula, label or other cell was edited.</t>
  </si>
  <si>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</si>
  <si>
    <t xml:space="preserve">Burden: payroll taxes 6.8% (B22 = Fld Ops Payroll B7) and benefits 16.4% (B23 = Fld Ops Payroll B8), applied to the salary rows total (rows 69-70).</t>
  </si>
  <si>
    <t xml:space="preserve">2027 cost of the role: salary 206,538 + payroll tax 14,045 + benefits 33,872 = 254,454.</t>
  </si>
  <si>
    <t xml:space="preserve">FE 2027 (AG): 6610 713,347 -&gt; 919,884 (+206,538); 6630 48,508 -&gt; 62,552 (+14,045); 6640 116,989 -&gt; 150,861 (+33,872). FE Total - Expense 931,334 -&gt; 1,185,788. COO P&amp;L rows 67-69 move by the same amounts.</t>
  </si>
  <si>
    <t xml:space="preserve">2027 COO contribution (COO P&amp;L AG132): 393,486 (v4) -&gt; 139,032 (v5), (254,454). 2026 FE 6610 was 850,615; FE 6610 2027 is now 919,884 (8% vs 2026; v4 -16%).</t>
  </si>
  <si>
    <t xml:space="preserve">Workbook text superseded by these notes</t>
  </si>
  <si>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</si>
  <si>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</si>
  <si>
    <t xml:space="preserve">v9: the Depreciation Schedule's A129 describes the v9 rules (B132 = 0, idle switch B135); A2 is still not edited (rows 1-126 are outside the allowed areas).</t>
  </si>
  <si>
    <t xml:space="preserve">v10: CO!AI67:AI69 describe the v10 CO payroll formulas. PO!AI33:AI35 (v8/v9 notes) were not edited in v10 (its diff is confined to PO!U33:AF35 there); v11 updates AI33:AI35 to the v10 wording - B131 = 0 restores the v7 amount LESS HC-PO r20, which moved to CO (user decision 2026-10-10). Text only; values unchanged.</t>
  </si>
  <si>
    <t xml:space="preserve">v11: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</si>
  <si>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Source and build</t>
  </si>
  <si>
    <t xml:space="preserve">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six P&amp;L sheets (COO P&amp;L, FO, PO, CO, FE, PE) changes - scoped in v11: HC-CO r18's inputs/months (B18:E18, M18:N18) and the HC-COO roll-up's 2027 columns M:N changed by design (2027/roster data, not 2026).</t>
  </si>
  <si>
    <t xml:space="preserve">Full notes: 02-build/02-build_notes_v11.md. Figures: figures_v10.py (from the workbook and 7 LibreOffice recalculations of switch scenarios, scen_v8.py); numbers on this sheet are live formulas (headline) or values computed by those scripts.</t>
  </si>
  <si>
    <t xml:space="preserve">v11 (corrections pass, handoff 2026-10-10): base = the v10 collated workbook; edits = this sheet (regenerated) and PO!AI33:AI35 (text). 0 value changes on any other cell (every other zip part is byte-identical); COO P&amp;L!AG132 = 159,136.40, unchanged. See 'Changes from v10 (v11)' below.</t>
  </si>
  <si>
    <t xml:space="preserve">Changes from v10 (v11): corrections pass - six documentation fixes, no value changes (handoff 2026-10-10)</t>
  </si>
  <si>
    <t xml:space="preserve">v11 fixes one false sentence (full-sweep F1) and five documentation items (v10 verifier notes 1-3 and 5-7). No budget value changes: the v10 -&gt; v11 diff is confined to this sheet (regenerated) and PO!AI33:AI35 (text); COO P&amp;L!AG132 = 159,136.40 (cached value byte-identical to v10). Root cause of F1: the v7 report chain read the SD book's '.modified' document property; the file has no docProps/core.xml, so openpyxl returned the run time, and the sentence was carried v7 -&gt; v10. report_v11.py reads no file properties, no clock and no dates, so the v11 build is not date-dependent. The workfile's 2026-10-07 save date is real and kept.</t>
  </si>
  <si>
    <t xml:space="preserve">Fix</t>
  </si>
  <si>
    <t xml:space="preserve">Where</t>
  </si>
  <si>
    <t xml:space="preserve">F1 (false statement): the I-38 evidence no longer claims a save date read from the SD book's document properties (reported as a 2026-10-09 re-save in v7-v10) - the SD workbook carries no document properties, so its save date cannot be read from the file; the model's as-of date is unknown.</t>
  </si>
  <si>
    <t xml:space="preserve">Issues I-38 (Evidence); md I-38 row</t>
  </si>
  <si>
    <t xml:space="preserve">PO!AI33:AI35 notes updated: B131 = 0 restores the v7 amount LESS HC-PO r20, which moved to CO (user decision 2026-10-10); 5110-5140 B131 base 652,820 -&gt; 590,318. Text only; the cells' values and the U:AF formulas are unchanged.</t>
  </si>
  <si>
    <t xml:space="preserve">PO!AI33:AI35</t>
  </si>
  <si>
    <t xml:space="preserve">The 'Check (must be 0)' cells are live formulas computing the check from the workbook (previously static values); cached values = LibreOffice recalculation.</t>
  </si>
  <si>
    <t xml:space="preserve">This sheet, H78:H81</t>
  </si>
  <si>
    <t xml:space="preserve">Reader note: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</si>
  <si>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 xml:space="preserve">'Payroll reconciliation' lines; md</t>
  </si>
  <si>
    <t xml:space="preserve">Pointer: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</si>
  <si>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'Workbook text superseded' lines; md</t>
  </si>
  <si>
    <t xml:space="preserve">Precision wording: the '0 changes in 2026 B:N' claim is scoped to the six P&amp;L sheets (HC-CO r18 inputs/months and HC-COO M:N changed by design), and the I-05 burden ((5,715)) and the O7 rate-base ((899)) items are computed on the 9-person current-staff base carried from v9. On the v10 8-person base (PO HC r20 in CO since v10) each moves by well under $1k - immaterial at this precision; the carried figures are kept.</t>
  </si>
  <si>
    <t xml:space="preserve">'Source and build' line; caveat rows (sheet rows 45-46); md</t>
  </si>
  <si>
    <t xml:space="preserve">Changes from v9 (brief v6: Logistics&amp;WH payroll and the new CO employee booked in CO)</t>
  </si>
  <si>
    <t xml:space="preserve">What v10 did</t>
  </si>
  <si>
    <t xml:space="preserve">Logistics&amp;WH Payroll tab</t>
  </si>
  <si>
    <t xml:space="preserve">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</si>
  <si>
    <t xml:space="preserve">'Logistics&amp;WH Payroll'!A1:Y87</t>
  </si>
  <si>
    <t xml:space="preserve">CO 6610 / 6630 / 6640 (2027)</t>
  </si>
  <si>
    <t xml:space="preserve">Typed values -&gt; formulas: 'HC-CO' rows 67-69 + Logistics&amp;WH rows 43 / 44 / 45 less seat LOG-01 (row 34 x (1, B5, B6)); new-hire cost (row 46) -&gt; 6610. 2027 total 618,961 -&gt; 1,147,260. Notes in AI67:AI69.</t>
  </si>
  <si>
    <t xml:space="preserve">CO!U67:AF69, AI67:AI69; subtotals and ratios rows 73, 116, 117, 132, 137-142</t>
  </si>
  <si>
    <t xml:space="preserve">New CO employee</t>
  </si>
  <si>
    <t xml:space="preserve">new CO employee (user-confirmed, 110k): HC-CO row 18 (the empty current-employee row): annual 110,000, Jan-27 to Dec-27, 3% from Oct-27, CO HC rates. CO 6610-6640 read the roster total, so the cost flows from the roster. Name on HC-CO only.</t>
  </si>
  <si>
    <t xml:space="preserve">'HC-CO'!B18:E18 (+ row 18 and rows 67-70 values)</t>
  </si>
  <si>
    <t xml:space="preserve">Material handler PO -&gt; CO</t>
  </si>
  <si>
    <t xml:space="preserve">PO 5110-5140 B131 base = v7 amount less PO HC r20 (= MH-01) at PO HC rates: 652,820 -&gt; 590,318 (2027). Booked values unchanged (0, capitalised).</t>
  </si>
  <si>
    <t xml:space="preserve">PO!U33:AF35 (formulas; values 0)</t>
  </si>
  <si>
    <t xml:space="preserve">Headline</t>
  </si>
  <si>
    <t xml:space="preserve">687,435 -&gt; 159,136: Logistics&amp;WH (398,492), new CO employee (user-confirmed, 110k) (129,806).</t>
  </si>
  <si>
    <t xml:space="preserve">COO P&amp;L!AG132</t>
  </si>
  <si>
    <t xml:space="preserve">RESOLVED (user decision). I-41, I-37, I-38, I-27, I-40 updated; Decision #6 RESOLVED; caveats, range and sign-flip recomputed.</t>
  </si>
  <si>
    <t xml:space="preserve">Issues; caveats</t>
  </si>
  <si>
    <t xml:space="preserve">Downstream outside the listed areas</t>
  </si>
  <si>
    <t xml:space="preserve">HC-COO (organisation roll-up of the HC tabs; formulas unchanged) shows the new CO person in its 2027 CO rows and totals. No 2026 column moves.</t>
  </si>
  <si>
    <t xml:space="preserve">'HC-COO'!M:Z rows 18-75</t>
  </si>
  <si>
    <t xml:space="preserve">Production labour capitalised (Decision #1 RESOLVED): where the labour sits</t>
  </si>
  <si>
    <t xml:space="preserve">Value</t>
  </si>
  <si>
    <t xml:space="preserve">Depreciation Schedule cell</t>
  </si>
  <si>
    <t xml:space="preserve">Production payroll 2027 (Prod Payroll!S81) = capitalised labour from 2027 payroll</t>
  </si>
  <si>
    <t xml:space="preserve">2,592,894</t>
  </si>
  <si>
    <t xml:space="preserve">B201, B202</t>
  </si>
  <si>
    <t xml:space="preserve">  into 2027 go-lives (Feb-Oct 27 builds; Jan-27 rolls into Feb-27, B135 = 1): depreciated from go-live</t>
  </si>
  <si>
    <t xml:space="preserve">1,942,323</t>
  </si>
  <si>
    <t xml:space="preserve">B203</t>
  </si>
  <si>
    <t xml:space="preserve">  into 2028 go-lives (Nov-Dec 27 builds): PP&amp;E not yet placed in service (CIP) at Dec-27, no 2027 depreciation</t>
  </si>
  <si>
    <t xml:space="preserve">650,571</t>
  </si>
  <si>
    <t xml:space="preserve">B204</t>
  </si>
  <si>
    <t xml:space="preserve">  waiting for a build at Dec-27</t>
  </si>
  <si>
    <t xml:space="preserve">0</t>
  </si>
  <si>
    <t xml:space="preserve">B205</t>
  </si>
  <si>
    <t xml:space="preserve">  idle-month labour expensed (B135 = 0 only)</t>
  </si>
  <si>
    <t xml:space="preserve">B240</t>
  </si>
  <si>
    <t xml:space="preserve">Sep-Dec 26 model labour capitalised (B132 = 0: 2026 labour is a 2026 period cost; the 2026 books expense 5100)</t>
  </si>
  <si>
    <t xml:space="preserve">B207</t>
  </si>
  <si>
    <t xml:space="preserve">Depreciable labour in the 2027 go-live vintages</t>
  </si>
  <si>
    <t xml:space="preserve">B210</t>
  </si>
  <si>
    <t xml:space="preserve">2027 depreciation of capitalised labour (5011 / 5012)</t>
  </si>
  <si>
    <t xml:space="preserve">104,417 (79,290 / 25,126)</t>
  </si>
  <si>
    <t xml:space="preserve">R195 (rows 193-194)</t>
  </si>
  <si>
    <t xml:space="preserve">CapEx increase in 2027 for production labour (2027 payroll capitalised)</t>
  </si>
  <si>
    <t xml:space="preserve">B236</t>
  </si>
  <si>
    <t xml:space="preserve">Dec-27 balance sheet: PP&amp;E in service (labour, net of 2027 depreciation)</t>
  </si>
  <si>
    <t xml:space="preserve">1,837,906</t>
  </si>
  <si>
    <t xml:space="preserve">B238 (= B213)</t>
  </si>
  <si>
    <t xml:space="preserve">Dec-27 balance sheet: PP&amp;E not yet placed in service (CIP)</t>
  </si>
  <si>
    <t xml:space="preserve">B239</t>
  </si>
  <si>
    <t xml:space="preserve">Average labour per unit built in 2027: lift / tray</t>
  </si>
  <si>
    <t xml:space="preserve">5,735 (8.8% of 65,000) / 593 (7.4% of 8,000)</t>
  </si>
  <si>
    <t xml:space="preserve">B215:B216</t>
  </si>
  <si>
    <t xml:space="preserve">Labour per unit built, by build month (Depreciation Schedule section 8)</t>
  </si>
  <si>
    <t xml:space="preserve">Build month</t>
  </si>
  <si>
    <t xml:space="preserve">Prod Payroll (row 81)</t>
  </si>
  <si>
    <t xml:space="preserve">Capitalised: lifts (row 147)</t>
  </si>
  <si>
    <t xml:space="preserve">Capitalised: trays (row 148)</t>
  </si>
  <si>
    <t xml:space="preserve">Lifts built</t>
  </si>
  <si>
    <t xml:space="preserve">Trays built</t>
  </si>
  <si>
    <t xml:space="preserve">Lift labour pooled (row 152)</t>
  </si>
  <si>
    <t xml:space="preserve">Tray labour pooled (row 154)</t>
  </si>
  <si>
    <t xml:space="preserve">Labour per lift (row 156)</t>
  </si>
  <si>
    <t xml:space="preserve">Labour per tray (row 157)</t>
  </si>
  <si>
    <t xml:space="preserve">Go-live</t>
  </si>
  <si>
    <t xml:space="preserve">Sep-26</t>
  </si>
  <si>
    <t xml:space="preserve">90,851</t>
  </si>
  <si>
    <t xml:space="preserve">32</t>
  </si>
  <si>
    <t xml:space="preserve">Nov-26</t>
  </si>
  <si>
    <t xml:space="preserve">81,851</t>
  </si>
  <si>
    <t xml:space="preserve">155,879</t>
  </si>
  <si>
    <t xml:space="preserve">20</t>
  </si>
  <si>
    <t xml:space="preserve">60</t>
  </si>
  <si>
    <t xml:space="preserve">Jan-27</t>
  </si>
  <si>
    <t xml:space="preserve">144,133</t>
  </si>
  <si>
    <t xml:space="preserve">24</t>
  </si>
  <si>
    <t xml:space="preserve">140,751</t>
  </si>
  <si>
    <t xml:space="preserve">102,249</t>
  </si>
  <si>
    <t xml:space="preserve">38,503</t>
  </si>
  <si>
    <t xml:space="preserve">181,250</t>
  </si>
  <si>
    <t xml:space="preserve">121,669</t>
  </si>
  <si>
    <t xml:space="preserve">59,581</t>
  </si>
  <si>
    <t xml:space="preserve">22</t>
  </si>
  <si>
    <t xml:space="preserve">86</t>
  </si>
  <si>
    <t xml:space="preserve">223,918</t>
  </si>
  <si>
    <t xml:space="preserve">98,083</t>
  </si>
  <si>
    <t xml:space="preserve">10,178</t>
  </si>
  <si>
    <t xml:space="preserve">1,141</t>
  </si>
  <si>
    <t xml:space="preserve">Apr-27</t>
  </si>
  <si>
    <t xml:space="preserve">175,250</t>
  </si>
  <si>
    <t xml:space="preserve">118,761</t>
  </si>
  <si>
    <t xml:space="preserve">56,489</t>
  </si>
  <si>
    <t xml:space="preserve">14</t>
  </si>
  <si>
    <t xml:space="preserve">61</t>
  </si>
  <si>
    <t xml:space="preserve">8,483</t>
  </si>
  <si>
    <t xml:space="preserve">926</t>
  </si>
  <si>
    <t xml:space="preserve">May-27</t>
  </si>
  <si>
    <t xml:space="preserve">98</t>
  </si>
  <si>
    <t xml:space="preserve">5,938</t>
  </si>
  <si>
    <t xml:space="preserve">576</t>
  </si>
  <si>
    <t xml:space="preserve">176,685</t>
  </si>
  <si>
    <t xml:space="preserve">119,735</t>
  </si>
  <si>
    <t xml:space="preserve">56,950</t>
  </si>
  <si>
    <t xml:space="preserve">18</t>
  </si>
  <si>
    <t xml:space="preserve">73</t>
  </si>
  <si>
    <t xml:space="preserve">6,652</t>
  </si>
  <si>
    <t xml:space="preserve">780</t>
  </si>
  <si>
    <t xml:space="preserve">178,120</t>
  </si>
  <si>
    <t xml:space="preserve">120,709</t>
  </si>
  <si>
    <t xml:space="preserve">57,411</t>
  </si>
  <si>
    <t xml:space="preserve">85</t>
  </si>
  <si>
    <t xml:space="preserve">5,487</t>
  </si>
  <si>
    <t xml:space="preserve">675</t>
  </si>
  <si>
    <t xml:space="preserve">Aug-27</t>
  </si>
  <si>
    <t xml:space="preserve">212,417</t>
  </si>
  <si>
    <t xml:space="preserve">151,569</t>
  </si>
  <si>
    <t xml:space="preserve">60,848</t>
  </si>
  <si>
    <t xml:space="preserve">28</t>
  </si>
  <si>
    <t xml:space="preserve">122</t>
  </si>
  <si>
    <t xml:space="preserve">5,413</t>
  </si>
  <si>
    <t xml:space="preserve">499</t>
  </si>
  <si>
    <t xml:space="preserve">Sep-27</t>
  </si>
  <si>
    <t xml:space="preserve">202,828</t>
  </si>
  <si>
    <t xml:space="preserve">143,772</t>
  </si>
  <si>
    <t xml:space="preserve">59,056</t>
  </si>
  <si>
    <t xml:space="preserve">5,135</t>
  </si>
  <si>
    <t xml:space="preserve">484</t>
  </si>
  <si>
    <t xml:space="preserve">Oct-27</t>
  </si>
  <si>
    <t xml:space="preserve">240,150</t>
  </si>
  <si>
    <t xml:space="preserve">160,893</t>
  </si>
  <si>
    <t xml:space="preserve">79,257</t>
  </si>
  <si>
    <t xml:space="preserve">34</t>
  </si>
  <si>
    <t xml:space="preserve">159</t>
  </si>
  <si>
    <t xml:space="preserve">4,732</t>
  </si>
  <si>
    <t xml:space="preserve">498</t>
  </si>
  <si>
    <t xml:space="preserve">Nov-27</t>
  </si>
  <si>
    <t xml:space="preserve">259,621</t>
  </si>
  <si>
    <t xml:space="preserve">182,382</t>
  </si>
  <si>
    <t xml:space="preserve">77,240</t>
  </si>
  <si>
    <t xml:space="preserve">36</t>
  </si>
  <si>
    <t xml:space="preserve">146</t>
  </si>
  <si>
    <t xml:space="preserve">5,066</t>
  </si>
  <si>
    <t xml:space="preserve">529</t>
  </si>
  <si>
    <t xml:space="preserve">Dec-27</t>
  </si>
  <si>
    <t xml:space="preserve">318,497</t>
  </si>
  <si>
    <t xml:space="preserve">215,701</t>
  </si>
  <si>
    <t xml:space="preserve">102,796</t>
  </si>
  <si>
    <t xml:space="preserve">42</t>
  </si>
  <si>
    <t xml:space="preserve">183</t>
  </si>
  <si>
    <t xml:space="preserve">5,136</t>
  </si>
  <si>
    <t xml:space="preserve">562</t>
  </si>
  <si>
    <t xml:space="preserve">Jan-28</t>
  </si>
  <si>
    <t xml:space="preserve">332,074</t>
  </si>
  <si>
    <t xml:space="preserve">233,043</t>
  </si>
  <si>
    <t xml:space="preserve">99,031</t>
  </si>
  <si>
    <t xml:space="preserve">48</t>
  </si>
  <si>
    <t xml:space="preserve">220</t>
  </si>
  <si>
    <t xml:space="preserve">4,855</t>
  </si>
  <si>
    <t xml:space="preserve">450</t>
  </si>
  <si>
    <t xml:space="preserve">Feb-28</t>
  </si>
  <si>
    <t xml:space="preserve">Budget effect by GL, v7 -&gt; v8 -&gt; v9 (2027, AG)</t>
  </si>
  <si>
    <t xml:space="preserve">v7</t>
  </si>
  <si>
    <t xml:space="preserve">v8</t>
  </si>
  <si>
    <t xml:space="preserve">v9 - v8</t>
  </si>
  <si>
    <t xml:space="preserve">v9 - v7</t>
  </si>
  <si>
    <t xml:space="preserve">5010</t>
  </si>
  <si>
    <t xml:space="preserve">1,353,574</t>
  </si>
  <si>
    <t xml:space="preserve">5011</t>
  </si>
  <si>
    <t xml:space="preserve">1,248,196</t>
  </si>
  <si>
    <t xml:space="preserve">1,366,273</t>
  </si>
  <si>
    <t xml:space="preserve">1,327,486</t>
  </si>
  <si>
    <t xml:space="preserve">(38,787)</t>
  </si>
  <si>
    <t xml:space="preserve">+79,290</t>
  </si>
  <si>
    <t xml:space="preserve">5012</t>
  </si>
  <si>
    <t xml:space="preserve">418,898</t>
  </si>
  <si>
    <t xml:space="preserve">453,859</t>
  </si>
  <si>
    <t xml:space="preserve">444,025</t>
  </si>
  <si>
    <t xml:space="preserve">(9,834)</t>
  </si>
  <si>
    <t xml:space="preserve">+25,126</t>
  </si>
  <si>
    <t xml:space="preserve">5020</t>
  </si>
  <si>
    <t xml:space="preserve">298,140</t>
  </si>
  <si>
    <t xml:space="preserve">5110 (PO row 33)</t>
  </si>
  <si>
    <t xml:space="preserve">525,310</t>
  </si>
  <si>
    <t xml:space="preserve">(525,310)</t>
  </si>
  <si>
    <t xml:space="preserve">5130 (PO row 34)</t>
  </si>
  <si>
    <t xml:space="preserve">19,105</t>
  </si>
  <si>
    <t xml:space="preserve">(19,105)</t>
  </si>
  <si>
    <t xml:space="preserve">5140 (PO row 35)</t>
  </si>
  <si>
    <t xml:space="preserve">108,404</t>
  </si>
  <si>
    <t xml:space="preserve">(108,404)</t>
  </si>
  <si>
    <t xml:space="preserve">2027 COO contribution (COO P&amp;L AG132)</t>
  </si>
  <si>
    <t xml:space="preserve">139,032</t>
  </si>
  <si>
    <t xml:space="preserve">638,814</t>
  </si>
  <si>
    <t xml:space="preserve">687,435</t>
  </si>
  <si>
    <t xml:space="preserve">+48,621</t>
  </si>
  <si>
    <t xml:space="preserve">+548,403</t>
  </si>
  <si>
    <t xml:space="preserve">v10: the GL lines above are unchanged; the contribution is 159,136 (CO payroll, see 'Changes from v9').</t>
  </si>
  <si>
    <t xml:space="preserve">Scope sensitivity and alternatives, CapEx and Dec-27 balance sheet (recalculated with the switches)</t>
  </si>
  <si>
    <t xml:space="preserve">Case</t>
  </si>
  <si>
    <t xml:space="preserve">2027 CapEx: payroll capitalised</t>
  </si>
  <si>
    <t xml:space="preserve">2027 labour depreciation</t>
  </si>
  <si>
    <t xml:space="preserve">PO 5110-5140 2027 (expense)</t>
  </si>
  <si>
    <t xml:space="preserve">Dec-27 PP&amp;E in service (net)</t>
  </si>
  <si>
    <t xml:space="preserve">Dec-27 CIP (not yet in service)</t>
  </si>
  <si>
    <t xml:space="preserve">2027 COO contribution v10</t>
  </si>
  <si>
    <t xml:space="preserve">vs booked v10</t>
  </si>
  <si>
    <t xml:space="preserve">2027 COO contribution v9</t>
  </si>
  <si>
    <t xml:space="preserve">Booked: Prod Payroll labour capitalised incl. the current staff; Sep-Dec 26 labour a 2026 cost; idle months rolled forward</t>
  </si>
  <si>
    <t xml:space="preserve">104,417</t>
  </si>
  <si>
    <t xml:space="preserve">159,136</t>
  </si>
  <si>
    <t xml:space="preserve">Sensitivity (not booked): only the ramp capitalised; the current PO staff stay expensed (B131 = 0); v10 base without PO HC r20</t>
  </si>
  <si>
    <t xml:space="preserve">1,962,389</t>
  </si>
  <si>
    <t xml:space="preserve">73,095</t>
  </si>
  <si>
    <t xml:space="preserve">590,318</t>
  </si>
  <si>
    <t xml:space="preserve">1,347,101</t>
  </si>
  <si>
    <t xml:space="preserve">542,193</t>
  </si>
  <si>
    <t xml:space="preserve">(399,860)</t>
  </si>
  <si>
    <t xml:space="preserve">(558,996)</t>
  </si>
  <si>
    <t xml:space="preserve">65,936</t>
  </si>
  <si>
    <t xml:space="preserve">Idle-month labour expensed (B135 = 0)</t>
  </si>
  <si>
    <t xml:space="preserve">2,452,143</t>
  </si>
  <si>
    <t xml:space="preserve">90,574</t>
  </si>
  <si>
    <t xml:space="preserve">1,710,998</t>
  </si>
  <si>
    <t xml:space="preserve">32,228</t>
  </si>
  <si>
    <t xml:space="preserve">(126,908)</t>
  </si>
  <si>
    <t xml:space="preserve">560,527</t>
  </si>
  <si>
    <t xml:space="preserve">Idle-month labour expensed and the current staff expensed (B131 = 0, B135 = 0)</t>
  </si>
  <si>
    <t xml:space="preserve">1,873,327</t>
  </si>
  <si>
    <t xml:space="preserve">64,436</t>
  </si>
  <si>
    <t xml:space="preserve">679,380</t>
  </si>
  <si>
    <t xml:space="preserve">1,266,698</t>
  </si>
  <si>
    <t xml:space="preserve">(480,264)</t>
  </si>
  <si>
    <t xml:space="preserve">(639,400)</t>
  </si>
  <si>
    <t xml:space="preserve">(14,467)</t>
  </si>
  <si>
    <t xml:space="preserve">All Sep-Dec 26 labour capitalised (B132 = 1; only with a 2026 restatement)</t>
  </si>
  <si>
    <t xml:space="preserve">165,112</t>
  </si>
  <si>
    <t xml:space="preserve">2,171,148</t>
  </si>
  <si>
    <t xml:space="preserve">98,441</t>
  </si>
  <si>
    <t xml:space="preserve">(60,695)</t>
  </si>
  <si>
    <t xml:space="preserve">626,740</t>
  </si>
  <si>
    <t xml:space="preserve">B132 = 1 and the current staff expensed (B131 = 0)</t>
  </si>
  <si>
    <t xml:space="preserve">106,510</t>
  </si>
  <si>
    <t xml:space="preserve">1,543,814</t>
  </si>
  <si>
    <t xml:space="preserve">(433,274)</t>
  </si>
  <si>
    <t xml:space="preserve">(592,411)</t>
  </si>
  <si>
    <t xml:space="preserve">32,522</t>
  </si>
  <si>
    <t xml:space="preserve">v10: the B131 = 0 base excludes PO HC r20 (MH-01, booked in CO): PO 5110-5140 652,820 -&gt; 590,318 (5110 475,016, 5130 17,276, 5140 98,026).</t>
  </si>
  <si>
    <t xml:space="preserve">Idle-month labour (critic v8 B2; switch B135, not booked)</t>
  </si>
  <si>
    <t xml:space="preserve">Source</t>
  </si>
  <si>
    <t xml:space="preserve">Months with no units built (Sep-26..Dec-27; lifts or trays)</t>
  </si>
  <si>
    <t xml:space="preserve">Oct-26, Jan-27</t>
  </si>
  <si>
    <t xml:space="preserve">DeploySum rows 24/25</t>
  </si>
  <si>
    <t xml:space="preserve">Jan-27 production labour capitalised (B131 = 1): rolled into the Feb-27 builds while B135 = 1</t>
  </si>
  <si>
    <t xml:space="preserve">'Depreciation Schedule'!F149</t>
  </si>
  <si>
    <t xml:space="preserve">Expensed when B135 = 0: 5110 / 5130 / 5140 (Prod Payroll's own tax and benefit shares of the month)</t>
  </si>
  <si>
    <t xml:space="preserve">122,610 / 9,196 / 8,946</t>
  </si>
  <si>
    <t xml:space="preserve">'Depreciation Schedule'!rows 226-228 -&gt; PO!U33:U35</t>
  </si>
  <si>
    <t xml:space="preserve">2027 depreciation the Feb-27 builds (Apr-27 go-lives) no longer carry</t>
  </si>
  <si>
    <t xml:space="preserve">+13,843</t>
  </si>
  <si>
    <t xml:space="preserve">'Depreciation Schedule'!R195</t>
  </si>
  <si>
    <t xml:space="preserve">Net 2027 effect, booked policy (recalculated, B135 = 0)</t>
  </si>
  <si>
    <t xml:space="preserve">COO P&amp;L!AG132 687,435 -&gt; 560,527</t>
  </si>
  <si>
    <t xml:space="preserve">Net 2027 effect with the current 9 expensed (B131 = 0, B135 = 0; Jan-27 ramp labour only)</t>
  </si>
  <si>
    <t xml:space="preserve">(80,404)</t>
  </si>
  <si>
    <t xml:space="preserve">65,936 -&gt; (14,467)</t>
  </si>
  <si>
    <t xml:space="preserve">CapEx 2027 / Dec-27 PP&amp;E in service / CIP with B135 = 0</t>
  </si>
  <si>
    <t xml:space="preserve">2,452,143 / 1,710,998 / 650,571</t>
  </si>
  <si>
    <t xml:space="preserve">'Depreciation Schedule'!B236:B239</t>
  </si>
  <si>
    <t xml:space="preserve">Oct-26 (no builds)</t>
  </si>
  <si>
    <t xml:space="preserve">B132 = 0: Oct-26 labour is a 2026 cost (B1); with B132 = 1 and B135 = 0 it would be a 2026 expense, outside the 2027 P&amp;L</t>
  </si>
  <si>
    <t xml:space="preserve">Bridge: v7 'capitalised on top' (64,735) to the booked v9 labour depreciation</t>
  </si>
  <si>
    <t xml:space="preserve">Step</t>
  </si>
  <si>
    <t xml:space="preserve">2027 depreciation</t>
  </si>
  <si>
    <t xml:space="preserve">Note</t>
  </si>
  <si>
    <t xml:space="preserve">v7 'capitalised on top' (ramp only; annual average per unit built in 2027; 2027 labour only)</t>
  </si>
  <si>
    <t xml:space="preserve">64,735</t>
  </si>
  <si>
    <t xml:space="preserve">v7 figure, reproduced</t>
  </si>
  <si>
    <t xml:space="preserve">+ the current 9 (whole model, v7 method)</t>
  </si>
  <si>
    <t xml:space="preserve">+21,754</t>
  </si>
  <si>
    <t xml:space="preserve"> 86,490</t>
  </si>
  <si>
    <t xml:space="preserve">+ labour per unit by build month, zero-build months rolled forward (A-38)</t>
  </si>
  <si>
    <t xml:space="preserve">+17,927</t>
  </si>
  <si>
    <t xml:space="preserve"> 104,417 (booked v9)</t>
  </si>
  <si>
    <t xml:space="preserve">v8 only: + Oct-Dec 26 labour in the Jan-Feb 27 go-lives (withdrawn in v9, critic v8 B1)</t>
  </si>
  <si>
    <t xml:space="preserve"> 153,038 (v8 booked)</t>
  </si>
  <si>
    <t xml:space="preserve">B132 = 1 in v9 (one rule): v8's step + the Sep-26 builds' labour</t>
  </si>
  <si>
    <t xml:space="preserve">+60,695</t>
  </si>
  <si>
    <t xml:space="preserve"> 165,112 (of which Sep-26 builds +12,074)</t>
  </si>
  <si>
    <t xml:space="preserve">Sensitivity on the same method (ramp only, monthly, B132 = 0)</t>
  </si>
  <si>
    <t xml:space="preserve">v7 method 64,735; difference +8,360</t>
  </si>
  <si>
    <t xml:space="preserve">Prod Payroll XLOOKUP replacement (row 48): cell by cell</t>
  </si>
  <si>
    <t xml:space="preserve">Cell</t>
  </si>
  <si>
    <t xml:space="preserve">Old formula (v7)</t>
  </si>
  <si>
    <t xml:space="preserve">New formula (v8)</t>
  </si>
  <si>
    <t xml:space="preserve">x = MAX(C8, trays/week)</t>
  </si>
  <si>
    <t xml:space="preserve">Tier v8 (LibreOffice)</t>
  </si>
  <si>
    <t xml:space="preserve">Tier v7 scratch (SMALL/COUNTIF)</t>
  </si>
  <si>
    <t xml:space="preserve">Tier Python replica</t>
  </si>
  <si>
    <t xml:space="preserve">B48</t>
  </si>
  <si>
    <t xml:space="preserve">_xlfn.xlookup(MAX($C$8,B47),$B$20:$O$20,$B$20:$O$20,MAX($B$20:$O$20),1)</t>
  </si>
  <si>
    <t xml:space="preserve">IF(MAX($C$8,B47)&gt;MAX($B$20:$O$20),MAX($B$20:$O$20),INDEX($B$20:$O$20,IFERROR(MATCH(MAX($C$8,B47),$B$20:$O$20,1),0)+ISNA(MATCH(MAX($C$8,B47),$B$20:$O$20,0))))</t>
  </si>
  <si>
    <t xml:space="preserve">10.00</t>
  </si>
  <si>
    <t xml:space="preserve">C48</t>
  </si>
  <si>
    <t xml:space="preserve">_xlfn.xlookup(MAX($C$8,C47),$B$20:$O$20,$B$20:$O$20,MAX($B$20:$O$20),1)</t>
  </si>
  <si>
    <t xml:space="preserve">IF(MAX($C$8,C47)&gt;MAX($B$20:$O$20),MAX($B$20:$O$20),INDEX($B$20:$O$20,IFERROR(MATCH(MAX($C$8,C47),$B$20:$O$20,1),0)+ISNA(MATCH(MAX($C$8,C47),$B$20:$O$20,0))))</t>
  </si>
  <si>
    <t xml:space="preserve">D48</t>
  </si>
  <si>
    <t xml:space="preserve">_xlfn.xlookup(MAX($C$8,D47),$B$20:$O$20,$B$20:$O$20,MAX($B$20:$O$20),1)</t>
  </si>
  <si>
    <t xml:space="preserve">IF(MAX($C$8,D47)&gt;MAX($B$20:$O$20),MAX($B$20:$O$20),INDEX($B$20:$O$20,IFERROR(MATCH(MAX($C$8,D47),$B$20:$O$20,1),0)+ISNA(MATCH(MAX($C$8,D47),$B$20:$O$20,0))))</t>
  </si>
  <si>
    <t xml:space="preserve">14.00</t>
  </si>
  <si>
    <t xml:space="preserve">E48</t>
  </si>
  <si>
    <t xml:space="preserve">_xlfn.xlookup(MAX($C$8,E47),$B$20:$O$20,$B$20:$O$20,MAX($B$20:$O$20),1)</t>
  </si>
  <si>
    <t xml:space="preserve">IF(MAX($C$8,E47)&gt;MAX($B$20:$O$20),MAX($B$20:$O$20),INDEX($B$20:$O$20,IFERROR(MATCH(MAX($C$8,E47),$B$20:$O$20,1),0)+ISNA(MATCH(MAX($C$8,E47),$B$20:$O$20,0))))</t>
  </si>
  <si>
    <t xml:space="preserve">F48</t>
  </si>
  <si>
    <t xml:space="preserve">_xlfn.xlookup(MAX($C$8,F47),$B$20:$O$20,$B$20:$O$20,MAX($B$20:$O$20),1)</t>
  </si>
  <si>
    <t xml:space="preserve">IF(MAX($C$8,F47)&gt;MAX($B$20:$O$20),MAX($B$20:$O$20),INDEX($B$20:$O$20,IFERROR(MATCH(MAX($C$8,F47),$B$20:$O$20,1),0)+ISNA(MATCH(MAX($C$8,F47),$B$20:$O$20,0))))</t>
  </si>
  <si>
    <t xml:space="preserve">G48</t>
  </si>
  <si>
    <t xml:space="preserve">_xlfn.xlookup(MAX($C$8,G47),$B$20:$O$20,$B$20:$O$20,MAX($B$20:$O$20),1)</t>
  </si>
  <si>
    <t xml:space="preserve">IF(MAX($C$8,G47)&gt;MAX($B$20:$O$20),MAX($B$20:$O$20),INDEX($B$20:$O$20,IFERROR(MATCH(MAX($C$8,G47),$B$20:$O$20,1),0)+ISNA(MATCH(MAX($C$8,G47),$B$20:$O$20,0))))</t>
  </si>
  <si>
    <t xml:space="preserve">21.50</t>
  </si>
  <si>
    <t xml:space="preserve">30</t>
  </si>
  <si>
    <t xml:space="preserve">H48</t>
  </si>
  <si>
    <t xml:space="preserve">_xlfn.xlookup(MAX($C$8,H47),$B$20:$O$20,$B$20:$O$20,MAX($B$20:$O$20),1)</t>
  </si>
  <si>
    <t xml:space="preserve">IF(MAX($C$8,H47)&gt;MAX($B$20:$O$20),MAX($B$20:$O$20),INDEX($B$20:$O$20,IFERROR(MATCH(MAX($C$8,H47),$B$20:$O$20,1),0)+ISNA(MATCH(MAX($C$8,H47),$B$20:$O$20,0))))</t>
  </si>
  <si>
    <t xml:space="preserve">13.77</t>
  </si>
  <si>
    <t xml:space="preserve">I48</t>
  </si>
  <si>
    <t xml:space="preserve">_xlfn.xlookup(MAX($C$8,I47),$B$20:$O$20,$B$20:$O$20,MAX($B$20:$O$20),1)</t>
  </si>
  <si>
    <t xml:space="preserve">IF(MAX($C$8,I47)&gt;MAX($B$20:$O$20),MAX($B$20:$O$20),INDEX($B$20:$O$20,IFERROR(MATCH(MAX($C$8,I47),$B$20:$O$20,1),0)+ISNA(MATCH(MAX($C$8,I47),$B$20:$O$20,0))))</t>
  </si>
  <si>
    <t xml:space="preserve">22.87</t>
  </si>
  <si>
    <t xml:space="preserve">J48</t>
  </si>
  <si>
    <t xml:space="preserve">_xlfn.xlookup(MAX($C$8,J47),$B$20:$O$20,$B$20:$O$20,MAX($B$20:$O$20),1)</t>
  </si>
  <si>
    <t xml:space="preserve">IF(MAX($C$8,J47)&gt;MAX($B$20:$O$20),MAX($B$20:$O$20),INDEX($B$20:$O$20,IFERROR(MATCH(MAX($C$8,J47),$B$20:$O$20,1),0)+ISNA(MATCH(MAX($C$8,J47),$B$20:$O$20,0))))</t>
  </si>
  <si>
    <t xml:space="preserve">16.48</t>
  </si>
  <si>
    <t xml:space="preserve">K48</t>
  </si>
  <si>
    <t xml:space="preserve">_xlfn.xlookup(MAX($C$8,K47),$B$20:$O$20,$B$20:$O$20,MAX($B$20:$O$20),1)</t>
  </si>
  <si>
    <t xml:space="preserve">IF(MAX($C$8,K47)&gt;MAX($B$20:$O$20),MAX($B$20:$O$20),INDEX($B$20:$O$20,IFERROR(MATCH(MAX($C$8,K47),$B$20:$O$20,1),0)+ISNA(MATCH(MAX($C$8,K47),$B$20:$O$20,0))))</t>
  </si>
  <si>
    <t xml:space="preserve">19.83</t>
  </si>
  <si>
    <t xml:space="preserve">L48</t>
  </si>
  <si>
    <t xml:space="preserve">_xlfn.xlookup(MAX($C$8,L47),$B$20:$O$20,$B$20:$O$20,MAX($B$20:$O$20),1)</t>
  </si>
  <si>
    <t xml:space="preserve">IF(MAX($C$8,L47)&gt;MAX($B$20:$O$20),MAX($B$20:$O$20),INDEX($B$20:$O$20,IFERROR(MATCH(MAX($C$8,L47),$B$20:$O$20,1),0)+ISNA(MATCH(MAX($C$8,L47),$B$20:$O$20,0))))</t>
  </si>
  <si>
    <t xml:space="preserve">27.55</t>
  </si>
  <si>
    <t xml:space="preserve">M48</t>
  </si>
  <si>
    <t xml:space="preserve">_xlfn.xlookup(MAX($C$8,M47),$B$20:$O$20,$B$20:$O$20,MAX($B$20:$O$20),1)</t>
  </si>
  <si>
    <t xml:space="preserve">IF(MAX($C$8,M47)&gt;MAX($B$20:$O$20),MAX($B$20:$O$20),INDEX($B$20:$O$20,IFERROR(MATCH(MAX($C$8,M47),$B$20:$O$20,1),0)+ISNA(MATCH(MAX($C$8,M47),$B$20:$O$20,0))))</t>
  </si>
  <si>
    <t xml:space="preserve">N48</t>
  </si>
  <si>
    <t xml:space="preserve">_xlfn.xlookup(MAX($C$8,N47),$B$20:$O$20,$B$20:$O$20,MAX($B$20:$O$20),1)</t>
  </si>
  <si>
    <t xml:space="preserve">IF(MAX($C$8,N47)&gt;MAX($B$20:$O$20),MAX($B$20:$O$20),INDEX($B$20:$O$20,IFERROR(MATCH(MAX($C$8,N47),$B$20:$O$20,1),0)+ISNA(MATCH(MAX($C$8,N47),$B$20:$O$20,0))))</t>
  </si>
  <si>
    <t xml:space="preserve">37.10</t>
  </si>
  <si>
    <t xml:space="preserve">40</t>
  </si>
  <si>
    <t xml:space="preserve">O48</t>
  </si>
  <si>
    <t xml:space="preserve">_xlfn.xlookup(MAX($C$8,O47),$B$20:$O$20,$B$20:$O$20,MAX($B$20:$O$20),1)</t>
  </si>
  <si>
    <t xml:space="preserve">IF(MAX($C$8,O47)&gt;MAX($B$20:$O$20),MAX($B$20:$O$20),INDEX($B$20:$O$20,IFERROR(MATCH(MAX($C$8,O47),$B$20:$O$20,1),0)+ISNA(MATCH(MAX($C$8,O47),$B$20:$O$20,0))))</t>
  </si>
  <si>
    <t xml:space="preserve">32.97</t>
  </si>
  <si>
    <t xml:space="preserve">P48</t>
  </si>
  <si>
    <t xml:space="preserve">_xlfn.xlookup(MAX($C$8,P47),$B$20:$O$20,$B$20:$O$20,MAX($B$20:$O$20),1)</t>
  </si>
  <si>
    <t xml:space="preserve">IF(MAX($C$8,P47)&gt;MAX($B$20:$O$20),MAX($B$20:$O$20),INDEX($B$20:$O$20,IFERROR(MATCH(MAX($C$8,P47),$B$20:$O$20,1),0)+ISNA(MATCH(MAX($C$8,P47),$B$20:$O$20,0))))</t>
  </si>
  <si>
    <t xml:space="preserve">42.70</t>
  </si>
  <si>
    <t xml:space="preserve">50</t>
  </si>
  <si>
    <t xml:space="preserve">Q48</t>
  </si>
  <si>
    <t xml:space="preserve">_xlfn.xlookup(MAX($C$8,Q47),$B$20:$O$20,$B$20:$O$20,MAX($B$20:$O$20),1)</t>
  </si>
  <si>
    <t xml:space="preserve">IF(MAX($C$8,Q47)&gt;MAX($B$20:$O$20),MAX($B$20:$O$20),INDEX($B$20:$O$20,IFERROR(MATCH(MAX($C$8,Q47),$B$20:$O$20,1),0)+ISNA(MATCH(MAX($C$8,Q47),$B$20:$O$20,0))))</t>
  </si>
  <si>
    <t xml:space="preserve">49.68</t>
  </si>
  <si>
    <t xml:space="preserve">Model totals 2027 (v8 / Python replica): lift 1,622,423.15 / 1,622,423.15; tray 729,177.00 / 729,177.00; sup 241,293.75 / 241,293.75; total 2,592,893.90 / 2,592,893.90</t>
  </si>
  <si>
    <t xml:space="preserve">Prod Payroll overlap with PO HC: two readings (B2)</t>
  </si>
  <si>
    <t xml:space="preserve">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</si>
  <si>
    <t xml:space="preserve">Reading</t>
  </si>
  <si>
    <t xml:space="preserve">Who overlaps</t>
  </si>
  <si>
    <t xml:space="preserve">I-05 net</t>
  </si>
  <si>
    <t xml:space="preserve">I-17 net</t>
  </si>
  <si>
    <t xml:space="preserve">I-05 + I-17</t>
  </si>
  <si>
    <t xml:space="preserve">9 of 9 by count (v6)</t>
  </si>
  <si>
    <t xml:space="preserve">all 9 PO HC people = Prod Payroll's 9 current staff (7 lift + 2 tray, no names in the model)</t>
  </si>
  <si>
    <t xml:space="preserve">336,530</t>
  </si>
  <si>
    <t xml:space="preserve">2,298,919 as shipped in v6: PO HC r20 taken out twice (in I-05 by count, in I-17 as MH-01 by name). Deduplicated, MH-01 counts as a new seat: 2,360,882</t>
  </si>
  <si>
    <t xml:space="preserve">7 of 9 by role (critic B2)</t>
  </si>
  <si>
    <t xml:space="preserve">the 7 production staff (2 Team Lead, 2 Senior Production Technician, 1 Production Technician, 2 Production Associate) are Prod Payroll current staff; r20 Material Handler = MH-01 (name) and r16 Material Handling Team Lead (backfilled by MH-02) belong with Logistics&amp;WH</t>
  </si>
  <si>
    <t xml:space="preserve">2,102,502 (+140,112: 2 model seats at 70,056 each)</t>
  </si>
  <si>
    <t xml:space="preserve">2,439,031 (no seat taken out twice)</t>
  </si>
  <si>
    <t xml:space="preserve">Other v7 checks (critic v6 O1-O8, verifier V1; v7 figures, I-05 parts superseded by the capitalisation)</t>
  </si>
  <si>
    <t xml:space="preserve">Point</t>
  </si>
  <si>
    <t xml:space="preserve">Finding</t>
  </si>
  <si>
    <t xml:space="preserve">O1</t>
  </si>
  <si>
    <t xml:space="preserve">I-05 at PO HC burden rates</t>
  </si>
  <si>
    <t xml:space="preserve">PO HC 24.3% of salary vs the model's 15.6%: +141,924; ramp 2,104,313 (9-overlap)</t>
  </si>
  <si>
    <t xml:space="preserve">'HC-PO'!D6:D7; Prod Payroll B6:C7, H6:H7</t>
  </si>
  <si>
    <t xml:space="preserve">O2</t>
  </si>
  <si>
    <t xml:space="preserve">SD models may be older than the roster</t>
  </si>
  <si>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</si>
  <si>
    <t xml:space="preserve">Prod Payroll rows 31, 52, 71; HC tabs</t>
  </si>
  <si>
    <t xml:space="preserve">O3</t>
  </si>
  <si>
    <t xml:space="preserve">FO/FE person</t>
  </si>
  <si>
    <t xml:space="preserve">Probable duplicate (name match only; title/salary differ; likely FO-&gt;FE move); upside pro rata to the months after the move (about 6,544 per month on the FO side)</t>
  </si>
  <si>
    <t xml:space="preserve">I-28; Decision #7</t>
  </si>
  <si>
    <t xml:space="preserve">O4 / V1</t>
  </si>
  <si>
    <t xml:space="preserve">I-28 FO side with knock-ons</t>
  </si>
  <si>
    <t xml:space="preserve">Fld Ops Payroll B11 14 -&gt; 13, LibreOffice recalculation: +78,529.08 = payroll +78,198.12 + 5330 +330.96 (Fld Maint Budget!B29); supervisor headcount unchanged (True); after 217,561 (v6: +78,198, 217,230)</t>
  </si>
  <si>
    <t xml:space="preserve">scen_v7.py; COO P&amp;L!AG46, AG52:AG54</t>
  </si>
  <si>
    <t xml:space="preserve">O5</t>
  </si>
  <si>
    <t xml:space="preserve">FE HC r35 is an open seat</t>
  </si>
  <si>
    <t xml:space="preserve">'Open Positions' (HC-FE row 34), no employee; A-29 amended (start relaxed); _2 excludes it, SD costs it from Jan-27: up to +173,774 (I-39)</t>
  </si>
  <si>
    <t xml:space="preserve">'HC-FE'!B34:F35; Fld Eng Budget r20</t>
  </si>
  <si>
    <t xml:space="preserve">O6</t>
  </si>
  <si>
    <t xml:space="preserve">HC T&amp;B tax rates below FICA</t>
  </si>
  <si>
    <t xml:space="preserve">all five below 7.65% (3.57%-6.85%); PO/CO/PE up to (77,882); I-34 +76,600 if FE tax at 7.65% (I-37)</t>
  </si>
  <si>
    <t xml:space="preserve">'HC-*'!D6</t>
  </si>
  <si>
    <t xml:space="preserve">O7</t>
  </si>
  <si>
    <t xml:space="preserve">Range asymmetry</t>
  </si>
  <si>
    <t xml:space="preserve">lower bound 1 (2,723,481) (9-overlap (2,645,332)); lower bound 2 (excl. I-05) (620,980); I-05 capitalised on top (690,337); upper 1,492,606</t>
  </si>
  <si>
    <t xml:space="preserve">Sign-flip statement</t>
  </si>
  <si>
    <t xml:space="preserve">O8</t>
  </si>
  <si>
    <t xml:space="preserve">Privacy</t>
  </si>
  <si>
    <t xml:space="preserve">CONFIDENTIAL banner (md and Collation Notes); per-person amounts rounded to $5k in the md (A-35); no per-person CSV written in v7; scratch name lists deleted</t>
  </si>
  <si>
    <t xml:space="preserve">md; Collation Notes; run_build_v7.sh</t>
  </si>
  <si>
    <t xml:space="preserve">Payroll reconciliation (v10): HC roster vs P&amp;L payroll lines (2027, salary + tax + benefits)</t>
  </si>
  <si>
    <t xml:space="preserve">FO: SD Fld Ops Payroll = current 16 (= FO HC 16: 14 techs by count, coordinator and manager by name) 1,338,696 + ramp 2,618,543 = 3,957,239 (FO 5510-5540). Current salary 1,086,604 vs FO HC / COO book 5510 1,088,252 ((1,648): model average tech salary).</t>
  </si>
  <si>
    <t xml:space="preserve">PO: PO HC 9 = 652,820. PO 5110-5140 2027 = 0 (capitalised, Decision #1). B131 = 0 base = PO HC less r20 (MH-01, now in CO): 590,318 (v9 652,820). Prod Payroll capitalises its 9 current staff by count (unchanged).</t>
  </si>
  <si>
    <t xml:space="preserve">CO: CO 6610-6640 = CO HC roster 748,768 (6 people: the 5 of v9 + the new CO employee (user-confirmed, 110k)) + Logistics&amp;WH less LOG-01 398,492 (8 seats incl. MH-01) = 1,147,260 (v9 618,961).</t>
  </si>
  <si>
    <t xml:space="preserve">PE: PE HC 9 = PE 6610-6640; r22 'transfer?' 254,785 (I-35). FE: budget = Fld Eng Budget; FE HC + r15 (I-28) + Aug-27 hire (I-36); burden +109,539 vs FE HC rates (I-34).</t>
  </si>
  <si>
    <t xml:space="preserve">Reader note (v11):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</si>
  <si>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 xml:space="preserve">Dept</t>
  </si>
  <si>
    <t xml:space="preserve">GL</t>
  </si>
  <si>
    <t xml:space="preserve">HC people</t>
  </si>
  <si>
    <t xml:space="preserve">HC roster total</t>
  </si>
  <si>
    <t xml:space="preserve">v6 P&amp;L (= v5)</t>
  </si>
  <si>
    <t xml:space="preserve">COO book _2</t>
  </si>
  <si>
    <t xml:space="preserve">v10 P&amp;L line (2027)</t>
  </si>
  <si>
    <t xml:space="preserve">FO</t>
  </si>
  <si>
    <t xml:space="preserve">5510/5530/5540</t>
  </si>
  <si>
    <t xml:space="preserve">PO</t>
  </si>
  <si>
    <t xml:space="preserve">5110/5130/5140</t>
  </si>
  <si>
    <t xml:space="preserve">0 booked; B131 = 0: 590,318</t>
  </si>
  <si>
    <t xml:space="preserve">CO</t>
  </si>
  <si>
    <t xml:space="preserve">6610/6630/6640</t>
  </si>
  <si>
    <t xml:space="preserve">FE</t>
  </si>
  <si>
    <t xml:space="preserve">PE</t>
  </si>
  <si>
    <t xml:space="preserve">Duplicate scan (I-28): person matches across rosters (names not shown)</t>
  </si>
  <si>
    <t xml:space="preserve">Person A</t>
  </si>
  <si>
    <t xml:space="preserve">Person B</t>
  </si>
  <si>
    <t xml:space="preserve">Match basis</t>
  </si>
  <si>
    <t xml:space="preserve">Classification</t>
  </si>
  <si>
    <t xml:space="preserve">FO HC r15 Field Technician</t>
  </si>
  <si>
    <t xml:space="preserve">Fld Eng Budget r15 Field Engineer</t>
  </si>
  <si>
    <t xml:space="preserve">name</t>
  </si>
  <si>
    <t xml:space="preserve">PROBABLE DUPLICATE (name match only; title and salary differ; likely FO-&gt;FE move) across P&amp;L sources: FO 5510-5540 (Fld Ops Payroll current techs, by count) and FE 6610-6640 (Fld Eng Budget)</t>
  </si>
  <si>
    <t xml:space="preserve">FO HC r21 Operations Coordinator</t>
  </si>
  <si>
    <t xml:space="preserve">Fld Ops Payroll r76 Operations Coordinator</t>
  </si>
  <si>
    <t xml:space="preserve">same person, one P&amp;L source (FO 5510-5540 via Fld Ops Payroll)</t>
  </si>
  <si>
    <t xml:space="preserve">FO HC r25 Field Maintenance Manager</t>
  </si>
  <si>
    <t xml:space="preserve">Fld Ops Payroll r77 Manager</t>
  </si>
  <si>
    <t xml:space="preserve">PO HC r20 Material Handler</t>
  </si>
  <si>
    <t xml:space="preserve">Logistics&amp;WH MH-01 Material Handler</t>
  </si>
  <si>
    <t xml:space="preserve">duplicate if the Logistics&amp;WH model is adopted (model not carried); excluded from the I-17 net increment</t>
  </si>
  <si>
    <t xml:space="preserve">CO HC r17 Field Logistics Manager</t>
  </si>
  <si>
    <t xml:space="preserve">Logistics&amp;WH LOG-01 Logistics Manager</t>
  </si>
  <si>
    <t xml:space="preserve">FE HC r14 Senior Field Robotics Engineer</t>
  </si>
  <si>
    <t xml:space="preserve">Fld Eng Budget r13 Field Engineer</t>
  </si>
  <si>
    <t xml:space="preserve">same person, one P&amp;L source (FE 6610-6640 via Fld Eng Budget; FE HC is the roster, not costed separately)</t>
  </si>
  <si>
    <t xml:space="preserve">FE HC r15 Associate Field Robotics Engineer</t>
  </si>
  <si>
    <t xml:space="preserve">Fld Eng Budget r14 Field Engineer</t>
  </si>
  <si>
    <t xml:space="preserve">FE HC r16 Head of Service Delivery</t>
  </si>
  <si>
    <t xml:space="preserve">Fld Eng Budget r21 Head of Service Delivery</t>
  </si>
  <si>
    <t xml:space="preserve">FE HC r17 Customer Support Manager</t>
  </si>
  <si>
    <t xml:space="preserve">Fld Eng Budget r17 Customer Support Manager</t>
  </si>
  <si>
    <t xml:space="preserve">FE HC r18 Customer Support Specialist</t>
  </si>
  <si>
    <t xml:space="preserve">Fld Eng Budget r18 Customer Support Specialist</t>
  </si>
  <si>
    <t xml:space="preserve">FE HC r19 Associate Field Robotics Engineer</t>
  </si>
  <si>
    <t xml:space="preserve">Fld Eng Budget r16 Field Engineer</t>
  </si>
  <si>
    <t xml:space="preserve">FE HC r35 Field Engineer Manager</t>
  </si>
  <si>
    <t xml:space="preserve">Fld Eng Budget r20 Field Engineering Manager</t>
  </si>
  <si>
    <t xml:space="preserve">title + salary (start Dec-26 vs Jan-27)</t>
  </si>
  <si>
    <t xml:space="preserve">same seat (open position, no employee; start month relaxed, A-29), one P&amp;L source (FE 6610-6640 via Fld Eng Budget)</t>
  </si>
  <si>
    <t xml:space="preserve">HC tabs: external-link formulas in the workfile, stored as cached values</t>
  </si>
  <si>
    <t xml:space="preserve">Tab</t>
  </si>
  <si>
    <t xml:space="preserve">Original formula (text)</t>
  </si>
  <si>
    <t xml:space="preserve">Stored value</t>
  </si>
  <si>
    <t xml:space="preserve">HC-FO</t>
  </si>
  <si>
    <t xml:space="preserve">D6</t>
  </si>
  <si>
    <t xml:space="preserve">INDEX('[1]T&amp;B'!$S$13:$S$122,MATCH("FO",'[1]T&amp;B'!$R$13:$R$122,0))</t>
  </si>
  <si>
    <t xml:space="preserve">D7</t>
  </si>
  <si>
    <t xml:space="preserve">INDEX('[1]T&amp;B'!$T$13:$T$122,MATCH("FO",'[1]T&amp;B'!$R$13:$R$122,0))</t>
  </si>
  <si>
    <t xml:space="preserve">HC-PO</t>
  </si>
  <si>
    <t xml:space="preserve">INDEX('[1]T&amp;B'!$S$13:$S$122,MATCH("PO",'[1]T&amp;B'!$R$13:$R$122,0))</t>
  </si>
  <si>
    <t xml:space="preserve">INDEX('[1]T&amp;B'!$T$13:$T$122,MATCH("PO",'[1]T&amp;B'!$R$13:$R$122,0))</t>
  </si>
  <si>
    <t xml:space="preserve">HC-CO</t>
  </si>
  <si>
    <t xml:space="preserve">INDEX('[1]T&amp;B'!$S$13:$S$122,MATCH("CO",'[1]T&amp;B'!$R$13:$R$122,0))</t>
  </si>
  <si>
    <t xml:space="preserve">INDEX('[1]T&amp;B'!$T$13:$T$122,MATCH("CO",'[1]T&amp;B'!$R$13:$R$122,0))</t>
  </si>
  <si>
    <t xml:space="preserve">HC-FE</t>
  </si>
  <si>
    <t xml:space="preserve">INDEX('[1]T&amp;B'!$S$13:$S$122,MATCH("FE",'[1]T&amp;B'!$R$13:$R$122,0))</t>
  </si>
  <si>
    <t xml:space="preserve">INDEX('[1]T&amp;B'!$T$13:$T$122,MATCH("FE",'[1]T&amp;B'!$R$13:$R$122,0))</t>
  </si>
  <si>
    <t xml:space="preserve">HC-PE</t>
  </si>
  <si>
    <t xml:space="preserve">INDEX('[1]T&amp;B'!$S$13:$S$122,MATCH("PE",'[1]T&amp;B'!$R$13:$R$122,0))</t>
  </si>
  <si>
    <t xml:space="preserve">INDEX('[1]T&amp;B'!$T$13:$T$122,MATCH("PE",'[1]T&amp;B'!$R$13:$R$122,0))</t>
  </si>
  <si>
    <t xml:space="preserve">Assumptions register</t>
  </si>
  <si>
    <t xml:space="preserve">ID</t>
  </si>
  <si>
    <t xml:space="preserve">Assumption</t>
  </si>
  <si>
    <t xml:space="preserve">Value / effect</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</si>
  <si>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</si>
  <si>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</si>
  <si>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</si>
  <si>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</si>
  <si>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</si>
  <si>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</si>
  <si>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</si>
  <si>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</si>
  <si>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</si>
  <si>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</si>
  <si>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</si>
  <si>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</si>
  <si>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</si>
  <si>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</si>
  <si>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</si>
  <si>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</si>
  <si>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</si>
  <si>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</si>
  <si>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</si>
  <si>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</si>
  <si>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</si>
  <si>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</si>
  <si>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</si>
  <si>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</si>
  <si>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</si>
  <si>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</si>
  <si>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</si>
  <si>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</si>
  <si>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</si>
  <si>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</si>
  <si>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</si>
  <si>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</si>
  <si>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</si>
  <si>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</si>
  <si>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</si>
  <si>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</si>
  <si>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</si>
  <si>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</si>
  <si>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</si>
  <si>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</si>
  <si>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</si>
  <si>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</si>
  <si>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</si>
  <si>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</si>
  <si>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</si>
  <si>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</si>
  <si>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</si>
  <si>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</si>
  <si>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</si>
  <si>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</si>
  <si>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</si>
  <si>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</si>
  <si>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</si>
  <si>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</si>
  <si>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</si>
  <si>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</si>
  <si>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</si>
  <si>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</si>
  <si>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</si>
  <si>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In-service = go-live month (DeploySum rows 19/20); full month of depreciation in that month</t>
  </si>
  <si>
    <t xml:space="preserve">start delay 0; sensitivity: 1-month delay lowers 2027 depreciation by 274,833; mid-month convention lowers it by 137,417</t>
  </si>
  <si>
    <t xml:space="preserve">brief v3 convention (orchestrator; labelled; user may change)</t>
  </si>
  <si>
    <t xml:space="preserve">A-15</t>
  </si>
  <si>
    <t xml:space="preserve">Units built in 2027 for 2028 go-lives are not depreciated in 2027. v8: their capitalised labour (650,571) is not depreciated either: PP&amp;E not yet placed in service (CIP) at Dec-27 (A-41).</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</si>
  <si>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</si>
  <si>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</si>
  <si>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</si>
  <si>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</si>
  <si>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</si>
  <si>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</si>
  <si>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</si>
  <si>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</si>
  <si>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</si>
  <si>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</si>
  <si>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 trend alternative on 5010 +276,164 to the contribution (+403,624 if the decline also ran through Oct-Dec 26)</t>
  </si>
  <si>
    <t xml:space="preserve">'Depreciation Schedule' rows 33-36</t>
  </si>
  <si>
    <t xml:space="preserve">builder assumption: no asset register in the files (I-32)</t>
  </si>
  <si>
    <t xml:space="preserve">A-18</t>
  </si>
  <si>
    <t xml:space="preserve">Oct-Dec 26 go-lives covered by the PO run rate, not added explicitly; the risk runs both ways</t>
  </si>
  <si>
    <t xml:space="preserve">(39,057) if DeploySum's Q4 counts are right; +37,457 if PO's Dec-26 step-ups are Jan-27 units</t>
  </si>
  <si>
    <t xml:space="preserve">'Depreciation Schedule'!B17, section 5</t>
  </si>
  <si>
    <t xml:space="preserve">builder decision between the brief's two options; PO owner to confirm what the step-ups are (I-31)</t>
  </si>
  <si>
    <t xml:space="preserve">A-19</t>
  </si>
  <si>
    <t xml:space="preserve">SlipBot 5010 continues at the Dec-26 run rate; no new SlipBots</t>
  </si>
  <si>
    <t xml:space="preserve">'Depreciation Schedule'!B21</t>
  </si>
  <si>
    <t xml:space="preserve">builder assumption (flat carry, A-17);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</si>
  <si>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</si>
  <si>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</si>
  <si>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</si>
  <si>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</si>
  <si>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</si>
  <si>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</si>
  <si>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</si>
  <si>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</si>
  <si>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</si>
  <si>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</si>
  <si>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Revenue includes unsigned and forecast bookings, taken at 100%</t>
  </si>
  <si>
    <t xml:space="preserve">Sep-Dec 26 bookings 3,544,300 incl. 2,264,000 unsigned; FY27 bookings 29,452,766 all forecast</t>
  </si>
  <si>
    <t xml:space="preserve">DeploySum!A49 (note 5); DeploySum rows 7-13, 40</t>
  </si>
  <si>
    <t xml:space="preserve">source: 9/30/26 sales plan; no probability weighting applied (builder: taken as given)</t>
  </si>
  <si>
    <t xml:space="preserve">A-23</t>
  </si>
  <si>
    <t xml:space="preserve">Existing-fleet base is the PO Dec-26 forecast, not an actual</t>
  </si>
  <si>
    <t xml:space="preserve">159,270.72/month (PO!M19:M22; Sep-Dec 26 are forecast columns J:M; actuals run to Aug-26)</t>
  </si>
  <si>
    <t xml:space="preserve">'Depreciation Schedule'!B21:B24</t>
  </si>
  <si>
    <t xml:space="preserve">builder note (PO 2026 file); refresh when Q4-26 actuals close</t>
  </si>
  <si>
    <t xml:space="preserve">A-24</t>
  </si>
  <si>
    <t xml:space="preserve">DeploySum F40:Q40 (2027 revenue) are static cached values from the 9/30/26 file, not live links</t>
  </si>
  <si>
    <t xml:space="preserve">12 of 12 months static; PO!U12:AF12 link to them (formulas)</t>
  </si>
  <si>
    <t xml:space="preserve">DeploySum!F40:Q40 -&gt; PO!U12:AF12</t>
  </si>
  <si>
    <t xml:space="preserve">build v3 (external workbook [1] not supplied); a plan change needs a new resolved export</t>
  </si>
  <si>
    <t xml:space="preserve">A-25</t>
  </si>
  <si>
    <t xml:space="preserve">Revenue start timing vs go-live: revenue follows the plan's own recognition timing; depreciation starts in the go-live month (A-14)</t>
  </si>
  <si>
    <t xml:space="preserve">not determinable: the workbook cannot show whether revenue starts in the go-live month</t>
  </si>
  <si>
    <t xml:space="preserve">DeploySum row 40 vs rows 19/20; 'Depreciation Schedule'!B13</t>
  </si>
  <si>
    <t xml:space="preserve">builder note; plan owner to confirm (Revenue Roll-up not supplied)</t>
  </si>
  <si>
    <t xml:space="preserve">A-26</t>
  </si>
  <si>
    <t xml:space="preserve">Head of Service Delivery annual salary (current employee), entered in v5</t>
  </si>
  <si>
    <t xml:space="preserve">205,000/year in B21; model: full year from 2027-01-01, +3% from 2027-10-01, tax 6.8%, benefits 16.4%: 2027 cost 254,454</t>
  </si>
  <si>
    <t xml:space="preserve">Fld Eng Budget!B21 -&gt; rows 67-71, 78-80 -&gt; FE rows 67-69</t>
  </si>
  <si>
    <t xml:space="preserve">user-confirmed 2026-10-09 ('Head of Service delivery salary is $205k annually'); treatment = existing workbook logic</t>
  </si>
  <si>
    <t xml:space="preserve">A-27</t>
  </si>
  <si>
    <t xml:space="preserve">Net increment of an SD payroll model = model 2027 total less the model's own cost of the people already on an HC roster (same model rates)</t>
  </si>
  <si>
    <t xml:space="preserve">I-05 1,962,389; I-17 336,530</t>
  </si>
  <si>
    <t xml:space="preserve">Prod Payroll; SD Logistics&amp;WH Payroll</t>
  </si>
  <si>
    <t xml:space="preserve">builder definition (v6, handoff: 'model total minus the overlap already in PO')</t>
  </si>
  <si>
    <t xml:space="preserve">A-28</t>
  </si>
  <si>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</si>
  <si>
    <t xml:space="preserve">model 2027 2,592,894; Python replica agrees to 5e-10</t>
  </si>
  <si>
    <t xml:space="preserve">Prod Payroll!B48:Q48 (v8: replaced in the workbook)</t>
  </si>
  <si>
    <t xml:space="preserve">builder method (v6)</t>
  </si>
  <si>
    <t xml:space="preserve">A-29</t>
  </si>
  <si>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</si>
  <si>
    <t xml:space="preserve">12 pairs; anonymous model rows (Prod Payroll current staff, Fld Ops Payroll current techs) matched by headcount only</t>
  </si>
  <si>
    <t xml:space="preserve">recon_v6.py</t>
  </si>
  <si>
    <t xml:space="preserve">handoff rule</t>
  </si>
  <si>
    <t xml:space="preserve">A-30</t>
  </si>
  <si>
    <t xml:space="preserve">HC tab tax/benefit rates (D6:D7) linked to an external T&amp;B workbook are kept as the workfile's cached values</t>
  </si>
  <si>
    <t xml:space="preserve">10 cells</t>
  </si>
  <si>
    <t xml:space="preserve">'HC-*'!D6:D7</t>
  </si>
  <si>
    <t xml:space="preserve">builder (as DeploySum in v3)</t>
  </si>
  <si>
    <t xml:space="preserve">A-31</t>
  </si>
  <si>
    <t xml:space="preserve">Employer FICA reference rate 7.65% (6.2% Social Security + 1.45% Medicare), used only to test the HC T&amp;B tax rates (I-37)</t>
  </si>
  <si>
    <t xml:space="preserve">PO/CO/PE gap up to 77,882; FO/FE up to 34,169</t>
  </si>
  <si>
    <t xml:space="preserve">figures_v7.py</t>
  </si>
  <si>
    <t xml:space="preserve">statutory rates; wage base not modelled (upper bound)</t>
  </si>
  <si>
    <t xml:space="preserve">A-32</t>
  </si>
  <si>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</si>
  <si>
    <t xml:space="preserve">lift 1,291,250, tray 671,139 (supervisors 65.8% to lifts); check with the model-total split: depreciation 65,458 vs 64,735</t>
  </si>
  <si>
    <t xml:space="preserve">Prod Payroll rows 41, 62, 79</t>
  </si>
  <si>
    <t xml:space="preserve">builder assumption (v7, handoff fallback shown)</t>
  </si>
  <si>
    <t xml:space="preserve">A-33</t>
  </si>
  <si>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</si>
  <si>
    <t xml:space="preserve">units built 312 lifts / 1355 trays; live in 2027 222 / 952; depreciation 64,735 (9) / 69,357 (7)</t>
  </si>
  <si>
    <t xml:space="preserve">DeploySum rows 19-20, 24-25, 33-34; 'Depreciation Schedule' rows 38-62</t>
  </si>
  <si>
    <t xml:space="preserve">builder assumption (v7); lag checked on the DeploySum rows (DeploySum note 1)</t>
  </si>
  <si>
    <t xml:space="preserve">A-34</t>
  </si>
  <si>
    <t xml:space="preserve">7-overlap reading (B2): the 2 Prod Payroll current seats no PO HC production person fills are costed at the model's average current cost per head; capitalised case keeps the 9-overlap lift / tray mix</t>
  </si>
  <si>
    <t xml:space="preserve">+140,112 (139,984 to 140,560 as tray or lift seats)</t>
  </si>
  <si>
    <t xml:space="preserve">Prod Payroll B9, C9, H10; 'HC-PO'!C14:C22</t>
  </si>
  <si>
    <t xml:space="preserve">builder assumption (v7)</t>
  </si>
  <si>
    <t xml:space="preserve">A-35</t>
  </si>
  <si>
    <t xml:space="preserve">md privacy: per-person amounts for identified employees rounded to the nearest $5k ('~'); Collation Notes keeps exact figures (restricted workbook)</t>
  </si>
  <si>
    <t xml:space="preserve">md only</t>
  </si>
  <si>
    <t xml:space="preserve">paylist_v7.py</t>
  </si>
  <si>
    <t xml:space="preserve">critic v6 O8 / handoff</t>
  </si>
  <si>
    <t xml:space="preserve">A-36</t>
  </si>
  <si>
    <t xml:space="preserve">Production labour capitalised (Decision #1 RESOLVED): every Prod Payroll cost row (rows 41, 62, 79) is capitalised into the units built that month; the current staff are included (switch B131 = 1)</t>
  </si>
  <si>
    <t xml:space="preserve">2027 2,592,894; 2027 depreciation 104,417</t>
  </si>
  <si>
    <t xml:space="preserve">'Depreciation Schedule'!B131, rows 137-149</t>
  </si>
  <si>
    <t xml:space="preserve">user-confirmed 2026-10-10; scope per brief v5 (orchestrator); Finance to confirm (I-40)</t>
  </si>
  <si>
    <t xml:space="preserve">A-37</t>
  </si>
  <si>
    <t xml:space="preserve">Supervisors are allocated to lifts and trays pro rata to the month's lift : tray capitalised labour (v7 A-32, now by month)</t>
  </si>
  <si>
    <t xml:space="preserve">2027 supervisors 241,294: 166,821 to lifts</t>
  </si>
  <si>
    <t xml:space="preserve">'Depreciation Schedule'!row 146</t>
  </si>
  <si>
    <t xml:space="preserve">builder (v7 A-32 carried to monthly)</t>
  </si>
  <si>
    <t xml:space="preserve">A-38</t>
  </si>
  <si>
    <t xml:space="preserve">Labour per unit = the build month's capitalised labour / units built that month; a month with no units built rolls its labour into the next build month (work in progress) while B135 = 1 (booked), or expenses it in PO 5110-5140 when B135 = 0 (v9 switch, critic v8 B2)</t>
  </si>
  <si>
    <t xml:space="preserve">Jan-27 140,751 into Feb-27 builds (booked); expensed instead: (126,908) net in 2027. Oct-26: 0 (B132 = 0)</t>
  </si>
  <si>
    <t xml:space="preserve">'Depreciation Schedule'!B135, rows 152-157, 221-228</t>
  </si>
  <si>
    <t xml:space="preserve">builder assumption (v8); Finance to confirm idle-month treatment (I-40)</t>
  </si>
  <si>
    <t xml:space="preserve">A-39</t>
  </si>
  <si>
    <t xml:space="preserve">Build-to-go-live lag 2 months (DeploySum note 1); labour joins the vintage cost at go-live and is depreciated like the unit (full month from go-live + B13, 84 / 120 months, salvage B12)</t>
  </si>
  <si>
    <t xml:space="preserve">lag check 0 (DeploySum go-lives = builds 2 months earlier, every 2027 month)</t>
  </si>
  <si>
    <t xml:space="preserve">'Depreciation Schedule'!B133:B134, rows 165-189</t>
  </si>
  <si>
    <t xml:space="preserve">DeploySum note 1; Depreciation Schedule logic (brief v5)</t>
  </si>
  <si>
    <t xml:space="preserve">A-40</t>
  </si>
  <si>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</si>
  <si>
    <t xml:space="preserve">0 capitalised (v8: 381,863 into Jan-Feb 27; Sep-26 90,851 not added); B132 = 1: (60,695)</t>
  </si>
  <si>
    <t xml:space="preserve">'Depreciation Schedule'!B132, rows 159-161, 231-233, B207:B209</t>
  </si>
  <si>
    <t xml:space="preserve">orchestrator ruling (v9); v8 builder assumption withdrawn</t>
  </si>
  <si>
    <t xml:space="preserve">A-41</t>
  </si>
  <si>
    <t xml:space="preserve">Builds for 2028 go-lives (Nov-Dec 27) carry labour that is not depreciated in 2027: PP&amp;E not yet placed in service (CIP) at Dec-27</t>
  </si>
  <si>
    <t xml:space="preserve">'Depreciation Schedule'!row 160, B204, B239</t>
  </si>
  <si>
    <t xml:space="preserve">follows A-14 / A-15</t>
  </si>
  <si>
    <t xml:space="preserve">A-42</t>
  </si>
  <si>
    <t xml:space="preserve">Idle-month labour expensed (B135 = 0 only) is split to 5110 / 5130 / 5140 with Prod Payroll's own payroll-tax and benefit shares of the month (rows 37+58+75 and 38+59+76 over row 81)</t>
  </si>
  <si>
    <t xml:space="preserve">Jan-27: 122,610 / 9,196 / 8,946 (0 booked)</t>
  </si>
  <si>
    <t xml:space="preserve">'Depreciation Schedule'!rows 224-228; PO!U33:AF35</t>
  </si>
  <si>
    <t xml:space="preserve">builder (v9)</t>
  </si>
  <si>
    <t xml:space="preserve">A-43</t>
  </si>
  <si>
    <t xml:space="preserve">new CO employee (user-confirmed, 110k): current employee in seat for all of 2027 (Jan-Dec 27), CO HC rates (D6 / D7), CO 3% raise from Oct-27 (D8); HC-CO r18 start Jan-27 so no 2026 column moves</t>
  </si>
  <si>
    <t xml:space="preserve">2027 cost 129,806</t>
  </si>
  <si>
    <t xml:space="preserve">'HC-CO'!B18:Z18; CO!U67:AF69</t>
  </si>
  <si>
    <t xml:space="preserve">user (salary 110,000, 2026-10-10); builder (timing)</t>
  </si>
  <si>
    <t xml:space="preserve">A-44</t>
  </si>
  <si>
    <t xml:space="preserve">Logistics&amp;WH seats booked at the model's own burden rates (6.8% / 16.4%), not CO HC rates</t>
  </si>
  <si>
    <t xml:space="preserve">+19,396 at CO HC rates (caveat)</t>
  </si>
  <si>
    <t xml:space="preserve">'Logistics&amp;WH Payroll'!B5:B6; CO!U68:AF69</t>
  </si>
  <si>
    <t xml:space="preserve">orchestrator (handoff v10)</t>
  </si>
  <si>
    <t xml:space="preserve">A-45</t>
  </si>
  <si>
    <t xml:space="preserve">Logistics&amp;WH new-hire cost ($1,000 per 2027 hire) booked in 6610, as the FO model books it in 5510</t>
  </si>
  <si>
    <t xml:space="preserve">5,000 (5 hires)</t>
  </si>
  <si>
    <t xml:space="preserve">'Logistics&amp;WH Payroll'!row 46; CO!U67:AF67</t>
  </si>
  <si>
    <t xml:space="preserve">builder (v10)</t>
  </si>
  <si>
    <t xml:space="preserve">Issues (v10) - severity: HIGH = blocks sign-off or &gt; $250k; MED = $50k-250k or owner confirmation; LOW = &lt; $50k or hygiene; RESOLVED = closed by a user answer</t>
  </si>
  <si>
    <t xml:space="preserve">Sev</t>
  </si>
  <si>
    <t xml:space="preserve">Location</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</si>
  <si>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</si>
  <si>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</si>
  <si>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</si>
  <si>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</si>
  <si>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</si>
  <si>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</si>
  <si>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</si>
  <si>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</si>
  <si>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</si>
  <si>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</si>
  <si>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</si>
  <si>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</si>
  <si>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</si>
  <si>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</si>
  <si>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FO!AG63; FO!AG116; FE!AG63; FE!AG116; COO P&amp;L!AG132</t>
  </si>
  <si>
    <t xml:space="preserve">Replacing FO and FE with the SD versions adds 6,828,802 to 2027 COO cost (COGS + Opex). The SD build is much heavier than the COO book's FO/FE. (v4: restated in cost terms; the earlier evidence quoted 2027 Net Income from before revenue was budgeted.)</t>
  </si>
  <si>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</si>
  <si>
    <t xml:space="preserve">(6,828,802) on the contribution</t>
  </si>
  <si>
    <t xml:space="preserve">impact (6,828,802)</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</si>
  <si>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</si>
  <si>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</si>
  <si>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</si>
  <si>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</si>
  <si>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</si>
  <si>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</si>
  <si>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</si>
  <si>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</si>
  <si>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</si>
  <si>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</si>
  <si>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</si>
  <si>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</si>
  <si>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</si>
  <si>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</si>
  <si>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S62, S79, S81; PO!AG33:AG36; 'HC-PO'!B14:Z22, Z67:Z70; 'Depreciation Schedule'!A128:S241; PO!U20:AF21</t>
  </si>
  <si>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</si>
  <si>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</si>
  <si>
    <t xml:space="preserve">(104,417) depreciation (in the headline) and +652,820 PO 5110-5140 removed: +548,403 vs v7</t>
  </si>
  <si>
    <t xml:space="preserve">resolved (was HIGH); scope exposure in I-40</t>
  </si>
  <si>
    <t xml:space="preserve">None for I-05. Finance: confirm the scope and idle months (I-40, Decision #10) and the rate base of the current 9 (O7). PO owner: the material-handling roles (I-41). SD owner: the model date (I-38).</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</si>
  <si>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</si>
  <si>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</si>
  <si>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</si>
  <si>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</si>
  <si>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</si>
  <si>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</si>
  <si>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</si>
  <si>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</si>
  <si>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</si>
  <si>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</si>
  <si>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</si>
  <si>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</si>
  <si>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</si>
  <si>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</si>
  <si>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</si>
  <si>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</si>
  <si>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</si>
  <si>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</si>
  <si>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</si>
  <si>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</si>
  <si>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</si>
  <si>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</si>
  <si>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</si>
  <si>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</si>
  <si>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</si>
  <si>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</si>
  <si>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</si>
  <si>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</si>
  <si>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</si>
  <si>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</si>
  <si>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</si>
  <si>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</si>
  <si>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</si>
  <si>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</si>
  <si>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</si>
  <si>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</si>
  <si>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</si>
  <si>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</si>
  <si>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</si>
  <si>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</si>
  <si>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</si>
  <si>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</si>
  <si>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</si>
  <si>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</si>
  <si>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</si>
  <si>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</si>
  <si>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</si>
  <si>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</si>
  <si>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</si>
  <si>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</si>
  <si>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</si>
  <si>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</si>
  <si>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</si>
  <si>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</si>
  <si>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</si>
  <si>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</si>
  <si>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</si>
  <si>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</si>
  <si>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FO HC r25 Field Maintenance Manager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</si>
  <si>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</si>
  <si>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</si>
  <si>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</si>
  <si>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</si>
  <si>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</si>
  <si>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</si>
  <si>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</si>
  <si>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</si>
  <si>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'Logistics&amp;WH Payroll'!A14:S51; CO!U67:AF69; 'HC-CO'!B17:C17; 'HC-PO'!B20:C20; PO!U33:AF35</t>
  </si>
  <si>
    <t xml:space="preserve">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</si>
  <si>
    <t xml:space="preserve">Seats: LOG-01 148,949 (on payroll); INV-01 55,652 (Feb-27); TL-01 64,544 (Dec-26); TL-02 33,032 (Jul-27); MH-01 61,963 (on payroll); MH-02 61,963 (Oct-26); MH-06 31,751 (Jul-27); MH-03 52,712 (Mar-27); MH-04 36,876 (Jun-27). CO 6610-6640 check (v10 - HC-CO - logistics less LOG-01) = 0.00.</t>
  </si>
  <si>
    <t xml:space="preserve">(398,492) booked in the headline</t>
  </si>
  <si>
    <t xml:space="preserve">user decision</t>
  </si>
  <si>
    <t xml:space="preserve">None for the booking. Open: burden rates (A-44, +19,396 at CO HC rates); r16 vs TL-01 (I-41); Q4-26 hires on no roster (I-38).</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</si>
  <si>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</si>
  <si>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</si>
  <si>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</si>
  <si>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</si>
  <si>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</si>
  <si>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</si>
  <si>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</si>
  <si>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</si>
  <si>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</si>
  <si>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</si>
  <si>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</si>
  <si>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</si>
  <si>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</si>
  <si>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</si>
  <si>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</si>
  <si>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</si>
  <si>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</si>
  <si>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</si>
  <si>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</si>
  <si>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</si>
  <si>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</si>
  <si>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</si>
  <si>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</si>
  <si>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</si>
  <si>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</si>
  <si>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</si>
  <si>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</si>
  <si>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</si>
  <si>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</si>
  <si>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</si>
  <si>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</si>
  <si>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</si>
  <si>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</si>
  <si>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</si>
  <si>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</si>
  <si>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</si>
  <si>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</si>
  <si>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</si>
  <si>
    <t xml:space="preserve">Errors v2 -&gt; v3: DeploySum {'#REF!': 463, '#N/A': 35} -&gt; none; Prod Payroll {'#REF!': 796} -&gt; {'#NAME?': 430}. New errors: 0. v8: Prod Payroll errors 430 -&gt; 0.</t>
  </si>
  <si>
    <t xml:space="preserve">None; disclosed for reviewers.</t>
  </si>
  <si>
    <t xml:space="preserve">Fld Eng Budget!B21; Fld Eng Budget!B67:M67; FE!AG67</t>
  </si>
  <si>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</si>
  <si>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</si>
  <si>
    <t xml:space="preserve">(254,454) on the contribution (in the v5 headline)</t>
  </si>
  <si>
    <t xml:space="preserve">resolved; was MED (owner confirmation)</t>
  </si>
  <si>
    <t xml:space="preserve">None. v6: the Head of Service Delivery is on FE HC r16 and Fld Eng Budget r21 only, not on CO HC or PE HC (I-28).</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</si>
  <si>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</si>
  <si>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</si>
  <si>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</si>
  <si>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</si>
  <si>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</si>
  <si>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</si>
  <si>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</si>
  <si>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'HC-FO'!B15:D15; Fld Eng Budget!A15:C15, row 61; Fld Ops Payroll!B11; 'HC-FE'!B41:D41; 'HC-CO'; 'HC-PE'</t>
  </si>
  <si>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</si>
  <si>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</si>
  <si>
    <t xml:space="preserve">+78,529 to +93,093 (budget overstated by one person if the duplicate is confirmed; pro rata if the move happens mid-year)</t>
  </si>
  <si>
    <t xml:space="preserve">impact 93,093 ($50k-250k)</t>
  </si>
  <si>
    <t xml:space="preserve">SD / FO owners: confirm whether this person moved from FO to FE. Then remove them from one side (Fld Ops Payroll B11 14 -&gt; 13, or Fld Eng Budget row 15) and, if the move is real, give FE HC r41 the salary and start month. No budget value changed in v6 or v7.</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</si>
  <si>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</si>
  <si>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</si>
  <si>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</si>
  <si>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</si>
  <si>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</si>
  <si>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</si>
  <si>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</si>
  <si>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</si>
  <si>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</si>
  <si>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</si>
  <si>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'Depreciation Schedule'!A88:D97; PO!J20:M22; DeploySum!C19:E20</t>
  </si>
  <si>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</si>
  <si>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</si>
  <si>
    <t xml:space="preserve">(39,057) to +37,457 (5020 Dec step: up to +12,300 more)</t>
  </si>
  <si>
    <t xml:space="preserve">impact 39,057 (&lt; $50k)</t>
  </si>
  <si>
    <t xml:space="preserve">PO owner to say what the Oct/Nov/Dec-26 step-ups on PO rows 20-22 are (which go-lives, which month). Then the user chooses: keep the PO run rate (current), or Sep-26 run rate + DeploySum Oct-Dec 26 vintages. Do not do both.</t>
  </si>
  <si>
    <t xml:space="preserve">'Depreciation Schedule'!B21:B24; PO!M19:M22; PO!U19:AF19</t>
  </si>
  <si>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</si>
  <si>
    <t xml:space="preserve">Dec-26 run rates (PO!M): 5010 112,797.85, 5011 20,444.90, 5012 6,502.64, 5020 19,525.33; 2027 existing total 1,911,249. 5010 2026 actuals Jan-Aug 141,122.35 -&gt; 127,510.00, forecast Sep-Dec flat 112,797.85; 2026 total 1,492,329.</t>
  </si>
  <si>
    <t xml:space="preserve">up to +1,353,574 (5010 = 0); trend +276,164 (continued from Sep-26: +403,624); 5020 base up to +98,543</t>
  </si>
  <si>
    <t xml:space="preserve">impact 1,353,574</t>
  </si>
  <si>
    <t xml:space="preserve">USER DECISION: confirm SlipBot fleet status (fully depreciated / retired / ongoing / declining as in 2026) and the end-of-life month for any existing asset group. Change the section 2 input on the schedule if the run rate stops.</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</si>
  <si>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</si>
  <si>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</si>
  <si>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</si>
  <si>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</si>
  <si>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</si>
  <si>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</si>
  <si>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Fld Eng Budget!B22:B23; Fld Ops Payroll!B7:B8; 'HC-FE'!D6:D7; FE!AG68:AG69</t>
  </si>
  <si>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</si>
  <si>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</si>
  <si>
    <t xml:space="preserve">+109,539 if the FE HC rates are right; +76,600 if the FE tax rate is at least 7.65%</t>
  </si>
  <si>
    <t xml:space="preserve">impact 109,539 ($50k-250k)</t>
  </si>
  <si>
    <t xml:space="preserve">User / Finance: choose the FE burden rates (FE HC T&amp;B rates or the SD field rates). If FE HC, set Fld Eng Budget B22:B23 to the FE rates.</t>
  </si>
  <si>
    <t xml:space="preserve">'HC-PE'!A22:Z22; PE!AG67:AG69</t>
  </si>
  <si>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</si>
  <si>
    <t xml:space="preserve">2027 cost: salary 226,688 + payroll tax 8,096 (3.57%) + benefits 20,001 (8.82%) = 254,785. The HC tabs have Transfers In/Out blocks (rows 51-64) for such moves; none is filled.</t>
  </si>
  <si>
    <t xml:space="preserve">up to +254,785 (leaves COO from Jan-27); 0 if it moves within COO and is budgeted once</t>
  </si>
  <si>
    <t xml:space="preserve">impact not determinable; owner confirmation needed (exposure 254,785)</t>
  </si>
  <si>
    <t xml:space="preserve">PE owner to confirm the transfer, the month and the receiving department; record it in the Transfers Out / In blocks so it is budgeted once.</t>
  </si>
  <si>
    <t xml:space="preserve">Fld Eng Budget!A15:C15, A19:C19; 'HC-FE'!B41:F41; FE!AG67</t>
  </si>
  <si>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</si>
  <si>
    <t xml:space="preserve">Gap 103,133 = r15 75,562.50 + r19 27,570.83. Matched people: 2027 monthly salary identical (max difference 0.00). The COO book's FE 6610 (675,701) is FE HC less FE HC r35 Field Engineer Manager (141,050, from Dec-26).</t>
  </si>
  <si>
    <t xml:space="preserve">+33,967 if the Aug-27 hire is not approved (salary 27,571 + SD burden)</t>
  </si>
  <si>
    <t xml:space="preserve">impact 33,967 (&lt; $50k)</t>
  </si>
  <si>
    <t xml:space="preserve">FE owner to confirm the Aug-27 Customer Support Specialist hire and add it to FE HC if approved; the r15 row is handled under I-28.</t>
  </si>
  <si>
    <t xml:space="preserve">'HC-FO'!D6; 'HC-PO'!D6; 'HC-CO'!D6; 'HC-FE'!D6; 'HC-PE'!D6; PO!AG34; CO!AG68; PE!AG68; Fld Ops Payroll!B7; Fld Eng Budget!B22</t>
  </si>
  <si>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 v10: the CO base now includes the new CO employee (user-confirmed, 110k) (CO HC rate) and the logistics salaries (model rate 6.8%): CO + PE gap at 7.65% (62,207) (v9 (56,801)).</t>
  </si>
  <si>
    <t xml:space="preserve">At 7.65% on every 2027 salary dollar (upper bound): PO +21,081, CO +12,834, PE +43,967 = +77,882 of tax; FO +26,350 and FE +7,819 against the SD 6.8%. I-34 at an FE tax rate of 7.65%: +76,600 instead of +109,539.</t>
  </si>
  <si>
    <t xml:space="preserve">up to (62,207) CO/PE (v9 (56,801)); up to (34,169) FO/FE</t>
  </si>
  <si>
    <t xml:space="preserve">impact 62,207 ($50k-250k)</t>
  </si>
  <si>
    <t xml:space="preserve">Finance: confirm what the T&amp;B tax rates include (FICA, FUTA/SUTA, wage-base caps) and the rate to budget per department. Then reset 'HC-*'!D6 and, if needed, Fld Ops Payroll!B7 / Fld Eng Budget!B22.</t>
  </si>
  <si>
    <t xml:space="preserve">I-38</t>
  </si>
  <si>
    <t xml:space="preserve">Prod Payroll!B31:E31, B52:E52, B71:E71; Logistics&amp;WH Payroll (SD, not carried) TL-01, MH-02; 'HC-PO'</t>
  </si>
  <si>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drives the budget (capitalised labour and its depreciation), so its date matters more. v9: with B132 = 0 the Q4-26 model ramp hires that are on no roster no longer create any asset: their Sep-Dec 26 labour is a 2026 cost and is in no 2027 vintage (v8 put 381,863 of Oct-Dec 26 labour into the Jan-Feb 27 vintages). The model date still sets the 2027 hires and their capitalised labour. v10: the Logistics&amp;WH model is in the budget (CO): TL-01 (Dec-26) and MH-02 (Oct-26) are booked for all of 2027 although no roster holds them; if they were not hired, CO is overstated by their 2027 cost (TL-01 64,544, MH-02 61,963 at model rates).</t>
  </si>
  <si>
    <t xml:space="preserve">Workfile saved 2026-10-07 (file properties); the SD workbook carries no document properties, so its save date cannot be read from the file; the model's as-of date is unknown (v11 correction, full-sweep F1). The models' Sep-Dec 26 hires set the 2027 opening ramp (Prod Payroll: 15 ramp staff in Jan-27).</t>
  </si>
  <si>
    <t xml:space="preserve">SD / PO owners: when were Prod Payroll and Logistics&amp;WH Payroll last updated? Were the Sep-Dec 26 hires made, deferred or dropped? Refresh the models before Decision #6.</t>
  </si>
  <si>
    <t xml:space="preserve">'HC-FE'!B34:F35; Fld Eng Budget!A20:C20, row 66; FE!AG67</t>
  </si>
  <si>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</si>
  <si>
    <t xml:space="preserve">2027 cost in the budget (salary + SD burden): 173,774; COO book _2 gap vs FE HC: 141,050 of salary.</t>
  </si>
  <si>
    <t xml:space="preserve">up to +173,774 if the seat stays open all of 2027</t>
  </si>
  <si>
    <t xml:space="preserve">impact 173,774 ($50k-250k)</t>
  </si>
  <si>
    <t xml:space="preserve">FE owner: is the Field Engineer Manager seat filled, and from when? Set Fld Eng Budget!C20 to the start month.</t>
  </si>
  <si>
    <t xml:space="preserve">'Depreciation Schedule'!B131:B132, B135, rows 141-155, 221-228; PO!U33:AF35; COO P&amp;L!N36</t>
  </si>
  <si>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sensitivity (558,996) -&gt; (399,860) (v9 (621,499) -&gt; 65,936).</t>
  </si>
  <si>
    <t xml:space="preserve">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</si>
  <si>
    <t xml:space="preserve">(558,996) if the current staff stay expensed; (126,908) if idle-month labour is expensed; together (639,400)</t>
  </si>
  <si>
    <t xml:space="preserve">impact 558,996 (&gt; $250k)</t>
  </si>
  <si>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</si>
  <si>
    <t xml:space="preserve">I-41</t>
  </si>
  <si>
    <t xml:space="preserve">PO!U33:AF35; 'HC-PO'!B16:Z16, B20:Z20; Logistics&amp;WH MH-01, MH-02</t>
  </si>
  <si>
    <t xml:space="preserve">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 v10: PO HC r20 (MH-01) is booked in CO through the Logistics&amp;WH model (user decision) and left the PO B131 base, so I-41 is down to r16 (Material Handling Team Lead): (72,061) on the 7-of-9 reading, 0 if r16 fills Logistics&amp;WH TL-01 (same title, Dec-26). On the 9-of-9 count reading MH-01 is still one of Prod Payroll's 9 current staff (model unchanged): capitalised in PO and expensed in CO; taking one head (70,056) out of the capitalised labour gives +2,821 of 2027 depreciation.</t>
  </si>
  <si>
    <t xml:space="preserve">The 2 people together at PO HC rates: 134,563 (2027 salary x (1 + 3.64% + 20.64%)). The 2 Prod Payroll seats they would leave stay in the model and are capitalised.</t>
  </si>
  <si>
    <t xml:space="preserve">(72,061) (v10, r16 only; v9 (134,563) for r16 + r20)</t>
  </si>
  <si>
    <t xml:space="preserve">impact 72,061 ($50k-250k)</t>
  </si>
  <si>
    <t xml:space="preserve">PO owner: are r16 / r20 production or warehouse staff? If warehouse, budget them outside the capitalised labour (keep their PO HC cost in 5110-5140 or move it to 5350 Warehouse).</t>
  </si>
  <si>
    <t xml:space="preserve">'$000s' relabel (DeploySum)</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</si>
  <si>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</si>
  <si>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</si>
  <si>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</si>
  <si>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</si>
  <si>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</si>
  <si>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</si>
  <si>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</si>
  <si>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</si>
  <si>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</si>
  <si>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</si>
  <si>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</si>
  <si>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</si>
  <si>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</si>
  <si>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</si>
  <si>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</si>
  <si>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</si>
  <si>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</si>
  <si>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</si>
  <si>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</si>
  <si>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</si>
  <si>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</si>
  <si>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</si>
  <si>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</si>
  <si>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</si>
  <si>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</si>
  <si>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</si>
  <si>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</si>
  <si>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</si>
  <si>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</si>
  <si>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</si>
  <si>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</si>
  <si>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</si>
  <si>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</si>
  <si>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</si>
  <si>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</si>
  <si>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</si>
  <si>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</si>
  <si>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</si>
  <si>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</si>
  <si>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</si>
  <si>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</si>
  <si>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</si>
  <si>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</si>
  <si>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</si>
  <si>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</si>
  <si>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</si>
  <si>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</si>
  <si>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</si>
  <si>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</si>
  <si>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</si>
  <si>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</si>
  <si>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</si>
  <si>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</si>
  <si>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</si>
  <si>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</si>
  <si>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</si>
  <si>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</si>
  <si>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</si>
  <si>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</si>
  <si>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</si>
  <si>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</si>
  <si>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</si>
  <si>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</si>
  <si>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</si>
  <si>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</si>
  <si>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</si>
  <si>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</si>
  <si>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</si>
  <si>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</si>
  <si>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</si>
  <si>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</si>
  <si>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</si>
  <si>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</si>
  <si>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</si>
  <si>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</si>
  <si>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</si>
  <si>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</si>
  <si>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</si>
  <si>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</si>
  <si>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</si>
  <si>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</si>
  <si>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</si>
  <si>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</si>
  <si>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</si>
  <si>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</si>
  <si>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</si>
  <si>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</si>
  <si>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</si>
  <si>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</si>
  <si>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</si>
  <si>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</si>
  <si>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</si>
  <si>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</si>
  <si>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</si>
  <si>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</si>
  <si>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</si>
  <si>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</si>
  <si>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</si>
  <si>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</si>
  <si>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</si>
  <si>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</si>
  <si>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</si>
  <si>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</si>
  <si>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</si>
  <si>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</si>
  <si>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</si>
  <si>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</si>
  <si>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</si>
  <si>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</si>
  <si>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</si>
  <si>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</si>
  <si>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</si>
  <si>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</si>
  <si>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</si>
  <si>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</si>
  <si>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</si>
  <si>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</si>
  <si>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</si>
  <si>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</si>
  <si>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</si>
  <si>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</si>
  <si>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</si>
  <si>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</si>
  <si>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</si>
  <si>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</si>
  <si>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</si>
  <si>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</si>
  <si>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</si>
  <si>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</si>
  <si>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</si>
  <si>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</si>
  <si>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</si>
  <si>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</si>
  <si>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</si>
  <si>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</si>
  <si>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</si>
  <si>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</si>
  <si>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</si>
  <si>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</si>
  <si>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</si>
  <si>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</si>
  <si>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</si>
  <si>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</si>
  <si>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</si>
  <si>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</si>
  <si>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</si>
  <si>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</si>
  <si>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</si>
  <si>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</si>
  <si>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</si>
  <si>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</si>
  <si>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</si>
  <si>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</si>
  <si>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</si>
  <si>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</si>
  <si>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</si>
  <si>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</si>
  <si>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</si>
  <si>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</si>
  <si>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</si>
  <si>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</si>
  <si>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</si>
  <si>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</si>
  <si>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</si>
  <si>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</si>
  <si>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</si>
  <si>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</si>
  <si>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</si>
  <si>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</si>
  <si>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</si>
  <si>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</si>
  <si>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</si>
  <si>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</si>
  <si>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</si>
  <si>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</si>
  <si>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</si>
  <si>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</si>
  <si>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</si>
  <si>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</si>
  <si>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</si>
  <si>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</si>
  <si>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</si>
  <si>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</si>
  <si>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</si>
  <si>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</si>
  <si>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</si>
  <si>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</si>
  <si>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</si>
  <si>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</si>
  <si>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</si>
  <si>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</si>
  <si>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</si>
  <si>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</si>
  <si>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</si>
  <si>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</si>
  <si>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</si>
  <si>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</si>
  <si>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</si>
  <si>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</si>
  <si>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</si>
  <si>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</si>
  <si>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</si>
  <si>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</si>
  <si>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</si>
  <si>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</si>
  <si>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</si>
  <si>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</si>
  <si>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</si>
  <si>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</si>
  <si>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</si>
  <si>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</si>
  <si>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</si>
  <si>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</si>
  <si>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</si>
  <si>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</si>
  <si>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</si>
  <si>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</si>
  <si>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</si>
  <si>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</si>
  <si>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</si>
  <si>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</si>
  <si>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</si>
  <si>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</si>
  <si>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</si>
  <si>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</si>
  <si>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</si>
  <si>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</si>
  <si>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</si>
  <si>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</si>
  <si>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</si>
  <si>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</si>
  <si>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</si>
  <si>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</si>
  <si>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</si>
  <si>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</si>
  <si>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</si>
  <si>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</si>
  <si>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</si>
  <si>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</si>
  <si>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</si>
  <si>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</si>
  <si>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</si>
  <si>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</si>
  <si>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</si>
  <si>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</si>
  <si>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</si>
  <si>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</si>
  <si>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</si>
  <si>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</si>
  <si>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</si>
  <si>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</si>
  <si>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</si>
  <si>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</si>
  <si>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</si>
  <si>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</si>
  <si>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</si>
  <si>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</si>
  <si>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</si>
  <si>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</si>
  <si>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</si>
  <si>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</si>
  <si>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</si>
  <si>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</si>
  <si>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</si>
  <si>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</si>
  <si>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</si>
  <si>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</si>
  <si>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</si>
  <si>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</si>
  <si>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</si>
  <si>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</si>
  <si>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</si>
  <si>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</si>
  <si>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</si>
  <si>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</si>
  <si>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</si>
  <si>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</si>
  <si>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</si>
  <si>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</si>
  <si>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</si>
  <si>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</si>
  <si>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</si>
  <si>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</si>
  <si>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</si>
  <si>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</si>
  <si>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</si>
  <si>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</si>
  <si>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</si>
  <si>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</si>
  <si>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</si>
  <si>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</si>
  <si>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</si>
  <si>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</si>
  <si>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</si>
  <si>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</si>
  <si>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</si>
  <si>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</si>
  <si>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</si>
  <si>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</si>
  <si>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</si>
  <si>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</si>
  <si>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</si>
  <si>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</si>
  <si>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</si>
  <si>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</si>
  <si>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</si>
  <si>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</si>
  <si>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</si>
  <si>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</si>
  <si>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</si>
  <si>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</si>
  <si>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</si>
  <si>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</si>
  <si>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</si>
  <si>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</si>
  <si>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</si>
  <si>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</si>
  <si>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</si>
  <si>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</si>
  <si>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</si>
  <si>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</si>
  <si>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</si>
  <si>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</si>
  <si>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</si>
  <si>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</si>
  <si>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</si>
  <si>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</si>
  <si>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</si>
  <si>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</si>
  <si>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</si>
  <si>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</si>
  <si>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</si>
  <si>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</si>
  <si>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</si>
  <si>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</si>
  <si>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</si>
  <si>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</si>
  <si>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</si>
  <si>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</si>
  <si>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</si>
  <si>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</si>
  <si>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</si>
  <si>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</si>
  <si>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</si>
  <si>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</si>
  <si>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</si>
  <si>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</si>
  <si>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</si>
  <si>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</si>
  <si>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</si>
  <si>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</si>
  <si>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</si>
  <si>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</si>
  <si>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</si>
  <si>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</si>
  <si>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</si>
  <si>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</si>
  <si>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</si>
  <si>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</si>
  <si>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</si>
  <si>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</si>
  <si>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</si>
  <si>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</si>
  <si>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</si>
  <si>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</si>
  <si>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</si>
  <si>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</si>
  <si>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</si>
  <si>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</si>
  <si>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</si>
  <si>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</si>
  <si>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</si>
  <si>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</si>
  <si>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</si>
  <si>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</si>
  <si>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</si>
  <si>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</si>
  <si>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</si>
  <si>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</si>
  <si>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</si>
  <si>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</si>
  <si>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</si>
  <si>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</si>
  <si>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</si>
  <si>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</si>
  <si>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</si>
  <si>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</si>
  <si>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</si>
  <si>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</si>
  <si>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</si>
  <si>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</si>
  <si>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</si>
  <si>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</si>
  <si>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</si>
  <si>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</si>
  <si>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</si>
  <si>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</si>
  <si>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</si>
  <si>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</si>
  <si>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</si>
  <si>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</si>
  <si>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</si>
  <si>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</si>
  <si>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</si>
  <si>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</si>
  <si>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</si>
  <si>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</si>
  <si>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</si>
  <si>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</si>
  <si>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</si>
  <si>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</si>
  <si>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</si>
  <si>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</si>
  <si>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</si>
  <si>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</si>
  <si>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</si>
  <si>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</si>
  <si>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</si>
  <si>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</si>
  <si>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</si>
  <si>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</si>
  <si>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</si>
  <si>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</si>
  <si>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</si>
  <si>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</si>
  <si>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</si>
  <si>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</si>
  <si>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</si>
  <si>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</si>
  <si>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</si>
  <si>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</si>
  <si>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</si>
  <si>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</si>
  <si>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</si>
  <si>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</si>
  <si>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</si>
  <si>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</si>
  <si>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</si>
  <si>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</si>
  <si>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</si>
  <si>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</si>
  <si>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</si>
  <si>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</si>
  <si>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</si>
  <si>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</si>
  <si>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</si>
  <si>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</si>
  <si>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</si>
  <si>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</si>
  <si>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</si>
  <si>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</si>
  <si>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</si>
  <si>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</si>
  <si>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</si>
  <si>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</si>
  <si>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</si>
  <si>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</si>
  <si>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</si>
  <si>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</si>
  <si>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</si>
  <si>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</si>
  <si>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</si>
  <si>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</si>
  <si>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</si>
  <si>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</si>
  <si>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</si>
  <si>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</si>
  <si>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</si>
  <si>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</si>
  <si>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</si>
  <si>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</si>
  <si>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</si>
  <si>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</si>
  <si>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</si>
  <si>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</si>
  <si>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</si>
  <si>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</si>
  <si>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</si>
  <si>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</si>
  <si>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</si>
  <si>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</si>
  <si>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</si>
  <si>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</si>
  <si>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</si>
  <si>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</si>
  <si>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</si>
  <si>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</si>
  <si>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</si>
  <si>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</si>
  <si>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</si>
  <si>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</si>
  <si>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</si>
  <si>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</si>
  <si>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</si>
  <si>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</si>
  <si>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</si>
  <si>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</si>
  <si>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</si>
  <si>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</si>
  <si>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</si>
  <si>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</si>
  <si>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</si>
  <si>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</si>
  <si>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</si>
  <si>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</si>
  <si>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</si>
  <si>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</si>
  <si>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</si>
  <si>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</si>
  <si>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</si>
  <si>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</si>
  <si>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</si>
  <si>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</si>
  <si>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</si>
  <si>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</si>
  <si>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</si>
  <si>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</si>
  <si>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</si>
  <si>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</si>
  <si>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</si>
  <si>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</si>
  <si>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</si>
  <si>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</si>
  <si>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</si>
  <si>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</si>
  <si>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</si>
  <si>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</si>
  <si>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</si>
  <si>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</si>
  <si>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</si>
  <si>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</si>
  <si>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</si>
  <si>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</si>
  <si>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</si>
  <si>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</si>
  <si>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</si>
  <si>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</si>
  <si>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</si>
  <si>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</si>
  <si>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</si>
  <si>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</si>
  <si>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</si>
  <si>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</si>
  <si>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</si>
  <si>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</si>
  <si>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</si>
  <si>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</si>
  <si>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</si>
  <si>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</si>
  <si>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</si>
  <si>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</si>
  <si>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</si>
  <si>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</si>
  <si>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</si>
  <si>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</si>
  <si>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</si>
  <si>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</si>
  <si>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</si>
  <si>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</si>
  <si>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</si>
  <si>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</si>
  <si>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</si>
  <si>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</si>
  <si>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</si>
  <si>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</si>
  <si>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</si>
  <si>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</si>
  <si>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</si>
  <si>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</si>
  <si>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</si>
  <si>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</si>
  <si>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</si>
  <si>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</si>
  <si>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</si>
  <si>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</si>
  <si>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</si>
  <si>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</si>
  <si>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</si>
  <si>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</si>
  <si>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</si>
  <si>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</si>
  <si>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</si>
  <si>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</si>
  <si>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</si>
  <si>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</si>
  <si>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</si>
  <si>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</si>
  <si>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</si>
  <si>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</si>
  <si>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</si>
  <si>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</si>
  <si>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</si>
  <si>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</si>
  <si>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</si>
  <si>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</si>
  <si>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</si>
  <si>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</si>
  <si>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</si>
  <si>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</si>
  <si>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</si>
  <si>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</si>
  <si>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</si>
  <si>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</si>
  <si>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</si>
  <si>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</si>
  <si>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</si>
  <si>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</si>
  <si>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</si>
  <si>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</si>
  <si>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</si>
  <si>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</si>
  <si>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</si>
  <si>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</si>
  <si>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</si>
  <si>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</si>
  <si>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</si>
  <si>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</si>
  <si>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</si>
  <si>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</si>
  <si>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</si>
  <si>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</si>
  <si>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</si>
  <si>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</si>
  <si>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</si>
  <si>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</si>
  <si>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</si>
  <si>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</si>
  <si>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</si>
  <si>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</si>
  <si>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</si>
  <si>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</si>
  <si>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</si>
  <si>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</si>
  <si>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</si>
  <si>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</si>
  <si>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</si>
  <si>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</si>
  <si>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</si>
  <si>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</si>
  <si>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</si>
  <si>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</si>
  <si>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</si>
  <si>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</si>
  <si>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</si>
  <si>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</si>
  <si>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</si>
  <si>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</si>
  <si>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</si>
  <si>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</si>
  <si>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</si>
  <si>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</si>
  <si>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</si>
  <si>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</si>
  <si>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</si>
  <si>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</si>
  <si>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</si>
  <si>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</si>
  <si>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</si>
  <si>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</si>
  <si>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</si>
  <si>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</si>
  <si>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</si>
  <si>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</si>
  <si>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</si>
  <si>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</si>
  <si>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</si>
  <si>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</si>
  <si>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</si>
  <si>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</si>
  <si>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</si>
  <si>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</si>
  <si>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</si>
  <si>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</si>
  <si>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</si>
  <si>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</si>
  <si>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</si>
  <si>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</si>
  <si>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</si>
  <si>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</si>
  <si>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</si>
  <si>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</si>
  <si>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</si>
  <si>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</si>
  <si>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</si>
  <si>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</si>
  <si>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</si>
  <si>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</si>
  <si>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</si>
  <si>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</si>
  <si>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</si>
  <si>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</si>
  <si>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</si>
  <si>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</si>
  <si>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</si>
  <si>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</si>
  <si>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</si>
  <si>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</si>
  <si>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</si>
  <si>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</si>
  <si>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</si>
  <si>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</si>
  <si>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</si>
  <si>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</si>
  <si>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</si>
  <si>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</si>
  <si>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</si>
  <si>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</si>
  <si>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</si>
  <si>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</si>
  <si>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</si>
  <si>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</si>
  <si>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</si>
  <si>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</si>
  <si>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</si>
  <si>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</si>
  <si>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</si>
  <si>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</si>
  <si>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</si>
  <si>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</si>
  <si>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</si>
  <si>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</si>
  <si>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</si>
  <si>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</si>
  <si>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</si>
  <si>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</si>
  <si>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</si>
  <si>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</si>
  <si>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</si>
  <si>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</si>
  <si>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</si>
  <si>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</si>
  <si>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</si>
  <si>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</si>
  <si>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</si>
  <si>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</si>
  <si>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</si>
  <si>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</si>
  <si>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</si>
  <si>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</si>
  <si>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</si>
  <si>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</si>
  <si>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</si>
  <si>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</si>
  <si>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</si>
  <si>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</si>
  <si>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</si>
  <si>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</si>
  <si>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</si>
  <si>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</si>
  <si>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</si>
  <si>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</si>
  <si>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</si>
  <si>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</si>
  <si>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</si>
  <si>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</si>
  <si>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</si>
  <si>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</si>
  <si>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</si>
  <si>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</si>
  <si>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</si>
  <si>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</si>
  <si>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</si>
  <si>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</si>
  <si>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</si>
  <si>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</si>
  <si>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</si>
  <si>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</si>
  <si>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</si>
  <si>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</si>
  <si>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</si>
  <si>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</si>
  <si>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</si>
  <si>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</si>
  <si>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</si>
  <si>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</si>
  <si>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</si>
  <si>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</si>
  <si>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</si>
  <si>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</si>
  <si>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</si>
  <si>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</si>
  <si>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</si>
  <si>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</si>
  <si>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</si>
  <si>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</si>
  <si>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</si>
  <si>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</si>
  <si>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</si>
  <si>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</si>
  <si>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</si>
  <si>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</si>
  <si>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</si>
  <si>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</si>
  <si>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</si>
  <si>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</si>
  <si>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</si>
  <si>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</si>
  <si>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</si>
  <si>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</si>
  <si>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</si>
  <si>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</si>
  <si>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</si>
  <si>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</si>
  <si>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</si>
  <si>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</si>
  <si>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</si>
  <si>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</si>
  <si>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</si>
  <si>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</si>
  <si>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</si>
  <si>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</si>
  <si>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</si>
  <si>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</si>
  <si>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</si>
  <si>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</si>
  <si>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</si>
  <si>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</si>
  <si>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</si>
  <si>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</si>
  <si>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</si>
  <si>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</si>
  <si>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</si>
  <si>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</si>
  <si>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</si>
  <si>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</si>
  <si>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</si>
  <si>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</si>
  <si>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</si>
  <si>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</si>
  <si>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</si>
  <si>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</si>
  <si>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</si>
  <si>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</si>
  <si>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</si>
  <si>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</si>
  <si>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</si>
  <si>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</si>
  <si>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</si>
  <si>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</si>
  <si>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</si>
  <si>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</si>
  <si>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</si>
  <si>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</si>
  <si>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</si>
  <si>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</si>
  <si>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</si>
  <si>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</si>
  <si>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</si>
  <si>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</si>
  <si>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</si>
  <si>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</si>
  <si>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</si>
  <si>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</si>
  <si>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</si>
  <si>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</si>
  <si>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</si>
  <si>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</si>
  <si>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</si>
  <si>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</si>
  <si>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</si>
  <si>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</si>
  <si>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</si>
  <si>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</si>
  <si>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</si>
  <si>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</si>
  <si>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</si>
  <si>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</si>
  <si>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</si>
  <si>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</si>
  <si>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</si>
  <si>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</si>
  <si>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</si>
  <si>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</si>
  <si>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</si>
  <si>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</si>
  <si>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</si>
  <si>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</si>
  <si>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</si>
  <si>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</si>
  <si>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</si>
  <si>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</si>
  <si>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</si>
  <si>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</si>
  <si>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</si>
  <si>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</si>
  <si>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</si>
  <si>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</si>
  <si>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</si>
  <si>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</si>
  <si>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</si>
  <si>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</si>
  <si>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</si>
  <si>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</si>
  <si>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</si>
  <si>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</si>
  <si>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</si>
  <si>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</si>
  <si>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</si>
  <si>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</si>
  <si>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</si>
  <si>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</si>
  <si>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</si>
  <si>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</si>
  <si>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</si>
  <si>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</si>
  <si>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</si>
  <si>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</si>
  <si>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</si>
  <si>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</si>
  <si>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</si>
  <si>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</si>
  <si>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</si>
  <si>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</si>
  <si>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</si>
  <si>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</si>
  <si>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</si>
  <si>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</si>
  <si>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</si>
  <si>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</si>
  <si>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</si>
  <si>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</si>
  <si>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</si>
  <si>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</si>
  <si>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</si>
  <si>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</si>
  <si>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</si>
  <si>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</si>
  <si>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</si>
  <si>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</si>
  <si>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</si>
  <si>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</si>
  <si>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</si>
  <si>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</si>
  <si>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</si>
  <si>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</si>
  <si>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</si>
  <si>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</si>
  <si>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</si>
  <si>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</si>
  <si>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</si>
  <si>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</si>
  <si>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</si>
  <si>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</si>
  <si>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</si>
  <si>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</si>
  <si>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</si>
  <si>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</si>
  <si>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</si>
  <si>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</si>
  <si>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</si>
  <si>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</si>
  <si>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</si>
  <si>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</si>
  <si>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</si>
  <si>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</si>
  <si>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</si>
  <si>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</si>
  <si>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</si>
  <si>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</si>
  <si>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</si>
  <si>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</si>
  <si>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</si>
  <si>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</si>
  <si>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</si>
  <si>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</si>
  <si>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</si>
  <si>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</si>
  <si>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</si>
  <si>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</si>
  <si>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</si>
  <si>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</si>
  <si>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</si>
  <si>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</si>
  <si>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</si>
  <si>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</si>
  <si>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</si>
  <si>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</si>
  <si>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</si>
  <si>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</si>
  <si>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</si>
  <si>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</si>
  <si>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</si>
  <si>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</si>
  <si>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</si>
  <si>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</si>
  <si>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</si>
  <si>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</si>
  <si>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</si>
  <si>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</si>
  <si>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</si>
  <si>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</si>
  <si>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</si>
  <si>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</si>
  <si>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</si>
  <si>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</si>
  <si>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</si>
  <si>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</si>
  <si>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</si>
  <si>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</si>
  <si>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</si>
  <si>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</si>
  <si>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</si>
  <si>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</si>
  <si>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</si>
  <si>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</si>
  <si>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</si>
  <si>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</si>
  <si>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</si>
  <si>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</si>
  <si>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</si>
  <si>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</si>
  <si>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</si>
  <si>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</si>
  <si>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</si>
  <si>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</si>
  <si>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</si>
  <si>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</si>
  <si>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</si>
  <si>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</si>
  <si>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</si>
  <si>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</si>
  <si>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</si>
  <si>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</si>
  <si>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</si>
  <si>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</si>
  <si>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</si>
  <si>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</si>
  <si>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</si>
  <si>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</si>
  <si>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</si>
  <si>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</si>
  <si>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</si>
  <si>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</si>
  <si>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</si>
  <si>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</si>
  <si>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</si>
  <si>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</si>
  <si>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</si>
  <si>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</si>
  <si>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</si>
  <si>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</si>
  <si>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</si>
  <si>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</si>
  <si>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</si>
  <si>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</si>
  <si>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</si>
  <si>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</si>
  <si>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</si>
  <si>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</si>
  <si>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</si>
  <si>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</si>
  <si>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</si>
  <si>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</si>
  <si>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</si>
  <si>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</si>
  <si>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</si>
  <si>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</si>
  <si>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 v8: + capitalised production labour ('Depreciation Schedule' row 193, section 9).</t>
  </si>
  <si>
    <t xml:space="preserve">v3: from 'Depreciation Schedule' row 81 (straight-line; see inputs). v8: + capitalised production labour ('Depreciation Schedule' row 194, section 9).</t>
  </si>
  <si>
    <t xml:space="preserve">v3: from 'Depreciation Schedule' row 82 (straight-line; see inputs).</t>
  </si>
  <si>
    <t xml:space="preserve">Additional funds added to Jan for new building set up</t>
  </si>
  <si>
    <t xml:space="preserve">Does this live in production or field?</t>
  </si>
  <si>
    <t xml:space="preserve">v8: 5110 2027 = 0, CAPITALISED (production labour capitalised, user-confirmed 2026-10-10); the labour reaches the P&amp;L as 5011/5012 depreciation via 'Depreciation Schedule' sections 8-9. v9: + 'Depreciation Schedule' row 226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</si>
  <si>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 xml:space="preserve">v8: 5130 2027 = 0, CAPITALISED (production labour capitalised, user-confirmed 2026-10-10); the labour reaches the P&amp;L as 5011/5012 depreciation via 'Depreciation Schedule' sections 8-9. v9: + 'Depreciation Schedule' row 227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</si>
  <si>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 xml:space="preserve">v8: 5140 2027 = 0, CAPITALISED (production labour capitalised, user-confirmed 2026-10-10); the labour reaches the P&amp;L as 5011/5012 depreciation via 'Depreciation Schedule' sections 8-9. v9: + 'Depreciation Schedule' row 228 (idle-month labour expensed to this GL when B135 = 0; 0 while B135 = 1, booked). v10 (user decision 2026-10-10): PO HC r20 Material Handler = Logistics&amp;WH seat MH-01 moved to CO 6610-6640, so the formula is (1 - 'Depreciation Schedule'!B131) x (the v7 amount less 'HC-PO' r20 at PO HC rates) + the idle row: B131 = 0 restores the v7 amount LESS HC-PO r20 (5110-5140 B131 base 652,820 -&gt; 590,318). v11: note text updated to the v10 formula (text only; values unchanged).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</si>
  <si>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</si>
  <si>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</si>
  <si>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</si>
  <si>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</si>
  <si>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</si>
  <si>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</si>
  <si>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</si>
  <si>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</si>
  <si>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v10: 6610 2027 = 'HC-CO' row 67 (CO HC roster incl. the new CO employee, row 18) + 'Logistics&amp;WH Payroll' salaries less seat LOG-01 (row 43 - row 34; LOG-01 is CO HC r17, already in the roster) + the model's new-hire cost (row 46, mapped to 6610 as in FO 5510). Material handler MH-01 (PO HC r20) is here; PO 5110-5140 base excludes it. User decision 2026-10-10 (brief v6).</t>
  </si>
  <si>
    <t xml:space="preserve">v10: 6630 2027 = 'HC-CO' row 68 (CO HC rate D6) + 'Logistics&amp;WH Payroll' payroll taxes less LOG-01 (row 44 - row 34 x B5; model rate 6.8%, not the CO HC rate).</t>
  </si>
  <si>
    <t xml:space="preserve">v10: 6640 2027 = 'HC-CO' row 69 (CO HC rate D7) + 'Logistics&amp;WH Payroll' benefits less LOG-01 (row 45 - row 34 x B6; model rate 16.4%, not the CO HC rate).</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</si>
  <si>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</si>
  <si>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</si>
  <si>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</si>
  <si>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</si>
  <si>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</si>
  <si>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</si>
  <si>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</si>
  <si>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</si>
  <si>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</si>
  <si>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</si>
  <si>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</si>
  <si>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</si>
  <si>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</si>
  <si>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</si>
  <si>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</si>
  <si>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</si>
  <si>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</si>
  <si>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</si>
  <si>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</si>
  <si>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</si>
  <si>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</si>
  <si>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</si>
  <si>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</si>
  <si>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</si>
  <si>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</si>
  <si>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</si>
  <si>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</si>
  <si>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</si>
  <si>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</si>
  <si>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</si>
  <si>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</si>
  <si>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</si>
  <si>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</si>
  <si>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</si>
  <si>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</si>
  <si>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</si>
  <si>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</si>
  <si>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</si>
  <si>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</si>
  <si>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</si>
  <si>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</si>
  <si>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</si>
  <si>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</si>
  <si>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</si>
  <si>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</si>
  <si>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</si>
  <si>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</si>
  <si>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</si>
  <si>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</si>
  <si>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</si>
  <si>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</si>
  <si>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</si>
  <si>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</si>
  <si>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</si>
  <si>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</si>
  <si>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</si>
  <si>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</si>
  <si>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</si>
  <si>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</si>
  <si>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</si>
  <si>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</si>
  <si>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</si>
  <si>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</si>
  <si>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</si>
  <si>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</si>
  <si>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</si>
  <si>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</si>
  <si>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</si>
  <si>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</si>
  <si>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</si>
  <si>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</si>
  <si>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</si>
  <si>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</si>
  <si>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</si>
  <si>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</si>
  <si>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</si>
  <si>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</si>
  <si>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</si>
  <si>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</si>
  <si>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</si>
  <si>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</si>
  <si>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</si>
  <si>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</si>
  <si>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</si>
  <si>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</si>
  <si>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</si>
  <si>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</si>
  <si>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</si>
  <si>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</si>
  <si>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</si>
  <si>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</si>
  <si>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</si>
  <si>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</si>
  <si>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</si>
  <si>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</si>
  <si>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</si>
  <si>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</si>
  <si>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</si>
  <si>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</si>
  <si>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</si>
  <si>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</si>
  <si>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</si>
  <si>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</si>
  <si>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</si>
  <si>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</si>
  <si>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</si>
  <si>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</si>
  <si>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</si>
  <si>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</si>
  <si>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</si>
  <si>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</si>
  <si>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</si>
  <si>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</si>
  <si>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</si>
  <si>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</si>
  <si>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</si>
  <si>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</si>
  <si>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</si>
  <si>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</si>
  <si>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</si>
  <si>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</si>
  <si>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</si>
  <si>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</si>
  <si>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</si>
  <si>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</si>
  <si>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</si>
  <si>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</si>
  <si>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</si>
  <si>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</si>
  <si>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</si>
  <si>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</si>
  <si>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</si>
  <si>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</si>
  <si>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</si>
  <si>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</si>
  <si>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</si>
  <si>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</si>
  <si>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</si>
  <si>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</si>
  <si>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</si>
  <si>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</si>
  <si>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</si>
  <si>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</si>
  <si>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</si>
  <si>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</si>
  <si>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</si>
  <si>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</si>
  <si>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</si>
  <si>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</si>
  <si>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</si>
  <si>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</si>
  <si>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</si>
  <si>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</si>
  <si>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</si>
  <si>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</si>
  <si>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</si>
  <si>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</si>
  <si>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</si>
  <si>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</si>
  <si>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</si>
  <si>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</si>
  <si>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</si>
  <si>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</si>
  <si>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</si>
  <si>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</si>
  <si>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</si>
  <si>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</si>
  <si>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</si>
  <si>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</si>
  <si>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</si>
  <si>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</si>
  <si>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</si>
  <si>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</si>
  <si>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</si>
  <si>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</si>
  <si>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</si>
  <si>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</si>
  <si>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</si>
  <si>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</si>
  <si>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</si>
  <si>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</si>
  <si>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</si>
  <si>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</si>
  <si>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</si>
  <si>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</si>
  <si>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</si>
  <si>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</si>
  <si>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</si>
  <si>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8. CAPITALISED PRODUCTION LABOUR (added in v8; user-confirmed 2026-10-10: production labour is capitalised)</t>
  </si>
  <si>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</si>
  <si>
    <t xml:space="preserve">Current Prod Payroll staff (Prod Payroll B9:C9) capitalised: 1 = yes (booked); 0 = expensed in PO 5110-5140 (sensitivity)</t>
  </si>
  <si>
    <t xml:space="preserve">switch</t>
  </si>
  <si>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</si>
  <si>
    <t xml:space="preserve">Build-to-go-live lag (months; DeploySum note 1)</t>
  </si>
  <si>
    <t xml:space="preserve">Check: DeploySum go-lives Jan-Dec 27 (rows 19/20) less builds 2 months earlier (rows 24/25), all units (must be 0)</t>
  </si>
  <si>
    <t xml:space="preserve">Idle-month labour (months with no units built): 1 = roll forward into the next build month (capitalise; booked); 0 = expense in the month (PO 5110-5140, section 11)</t>
  </si>
  <si>
    <t xml:space="preserve">Lift payroll (Prod Payroll row 41)</t>
  </si>
  <si>
    <t xml:space="preserve">Prod Payroll rows 41 / 62 / 79 / 81, same columns (Sep-26..Dec-27); R = Jan-Dec 27</t>
  </si>
  <si>
    <t xml:space="preserve">Tray payroll (Prod Payroll row 62)</t>
  </si>
  <si>
    <t xml:space="preserve">Supervisor payroll (Prod Payroll row 79)</t>
  </si>
  <si>
    <t xml:space="preserve">Total production payroll (Prod Payroll row 81)</t>
  </si>
  <si>
    <t xml:space="preserve">Current lift staff at model rates (B9 x B5/12, raise M5 from M6, absence row 33, overtime row 35, tax B6, benefits B7)</t>
  </si>
  <si>
    <t xml:space="preserve">Same cost formula as Prod Payroll rows 32-38 / 53-59 at the current headcount (no hires)</t>
  </si>
  <si>
    <t xml:space="preserve">Current tray staff at model rates (C9 x C5/12, raise M5 from M6, absence row 54, overtime row 56, tax C6, benefits C7)</t>
  </si>
  <si>
    <t xml:space="preserve">Lift labour capitalised before supervisors (row 137 less (1 - B131) x row 141)</t>
  </si>
  <si>
    <t xml:space="preserve">B:E (Sep-Dec 26) x B132; B131 = 1 capitalises the current staff too</t>
  </si>
  <si>
    <t xml:space="preserve">Tray labour capitalised before supervisors (row 138 less (1 - B131) x row 142)</t>
  </si>
  <si>
    <t xml:space="preserve">Supervisor labour capitalised (row 139)</t>
  </si>
  <si>
    <t xml:space="preserve">Supervisors to lifts (pro rata to rows 143 : 144)</t>
  </si>
  <si>
    <t xml:space="preserve">Capitalised labour - SlipLifts</t>
  </si>
  <si>
    <t xml:space="preserve">Capitalised labour - SlipTrays</t>
  </si>
  <si>
    <t xml:space="preserve">Capitalised labour - total</t>
  </si>
  <si>
    <t xml:space="preserve">SlipLifts built (DeploySum row 24)</t>
  </si>
  <si>
    <t xml:space="preserve">SlipTrays built (DeploySum row 25)</t>
  </si>
  <si>
    <t xml:space="preserve">Lift labour pooled into the month's builds (a month with no lifts built rolls into the next build month)</t>
  </si>
  <si>
    <t xml:space="preserve">Rows 152-161 run over all build months B:Q (Sep-26..Dec-27); totals in section 10</t>
  </si>
  <si>
    <t xml:space="preserve">Lift labour waiting for the next lift build (B135 = 1 rolls a month with no lifts built forward; B135 = 0 expenses it, row 221)</t>
  </si>
  <si>
    <t xml:space="preserve">Tray labour pooled into the month's builds (a month with no trays built rolls into the next build month)</t>
  </si>
  <si>
    <t xml:space="preserve">Tray labour waiting for the next tray build (B135 = 1 rolls a month with no trays built forward; B135 = 0 expenses it, row 222)</t>
  </si>
  <si>
    <t xml:space="preserve">Labour per SlipLift built ($ per unit)</t>
  </si>
  <si>
    <t xml:space="preserve">Labour per SlipTray built ($ per unit)</t>
  </si>
  <si>
    <t xml:space="preserve">Go-live month of these builds (build month + B133)</t>
  </si>
  <si>
    <t xml:space="preserve">Labour in builds that go live in 2027 (Jan-Dec 27 vintages, depreciated from go-live)</t>
  </si>
  <si>
    <t xml:space="preserve">Labour in builds that go live in 2028: PP&amp;E not yet placed in service (CIP) at Dec-27, no 2027 depreciation</t>
  </si>
  <si>
    <t xml:space="preserve">Labour in builds that go live in 2026 (Sep-26 builds, Nov-26 go-lives): 0 when B132 = 0 (2026 labour is a 2026 period cost; the 2026 books expense 5100); with B132 = 1 depreciated in 2027 (rows 231-232)</t>
  </si>
  <si>
    <t xml:space="preserve">Capitalised labour by go-live vintage</t>
  </si>
  <si>
    <t xml:space="preserve">Labour in vintage ($)</t>
  </si>
  <si>
    <t xml:space="preserve">New SlipLifts (2027 go-lives): capitalised labour, one row per go-live month</t>
  </si>
  <si>
    <t xml:space="preserve">Labour - SlipLift go-live Jan-27</t>
  </si>
  <si>
    <t xml:space="preserve">D = labour per unit built (row 156, build month = go-live - B133) x units going live (row 29); E = D x (1 - salvage) / life; on from go-live month + start delay (same rule as rows 38-62)</t>
  </si>
  <si>
    <t xml:space="preserve">Labour - SlipLift go-live Feb-27</t>
  </si>
  <si>
    <t xml:space="preserve">Labour - SlipLift go-live Mar-27</t>
  </si>
  <si>
    <t xml:space="preserve">Labour - SlipLift go-live Apr-27</t>
  </si>
  <si>
    <t xml:space="preserve">Labour - SlipLift go-live May-27</t>
  </si>
  <si>
    <t xml:space="preserve">Labour - SlipLift go-live Jun-27</t>
  </si>
  <si>
    <t xml:space="preserve">Labour - SlipLift go-live Jul-27</t>
  </si>
  <si>
    <t xml:space="preserve">Labour - SlipLift go-live Aug-27</t>
  </si>
  <si>
    <t xml:space="preserve">Labour - SlipLift go-live Sep-27</t>
  </si>
  <si>
    <t xml:space="preserve">Labour - SlipLift go-live Oct-27</t>
  </si>
  <si>
    <t xml:space="preserve">Labour - SlipLift go-live Nov-27</t>
  </si>
  <si>
    <t xml:space="preserve">Labour - SlipLift go-live Dec-27</t>
  </si>
  <si>
    <t xml:space="preserve">New SlipTrays (2027 go-lives): capitalised labour, one row per go-live month</t>
  </si>
  <si>
    <t xml:space="preserve">Labour - SlipTray go-live Jan-27</t>
  </si>
  <si>
    <t xml:space="preserve">D = labour per unit built (row 157, build month = go-live - B133) x units going live (row 30); E = D x (1 - salvage) / life; on from go-live month + start delay (same rule as rows 38-62)</t>
  </si>
  <si>
    <t xml:space="preserve">Labour - SlipTray go-live Feb-27</t>
  </si>
  <si>
    <t xml:space="preserve">Labour - SlipTray go-live Mar-27</t>
  </si>
  <si>
    <t xml:space="preserve">Labour - SlipTray go-live Apr-27</t>
  </si>
  <si>
    <t xml:space="preserve">Labour - SlipTray go-live May-27</t>
  </si>
  <si>
    <t xml:space="preserve">Labour - SlipTray go-live Jun-27</t>
  </si>
  <si>
    <t xml:space="preserve">Labour - SlipTray go-live Jul-27</t>
  </si>
  <si>
    <t xml:space="preserve">Labour - SlipTray go-live Aug-27</t>
  </si>
  <si>
    <t xml:space="preserve">Labour - SlipTray go-live Sep-27</t>
  </si>
  <si>
    <t xml:space="preserve">Labour - SlipTray go-live Oct-27</t>
  </si>
  <si>
    <t xml:space="preserve">Labour - SlipTray go-live Nov-27</t>
  </si>
  <si>
    <t xml:space="preserve">Labour - SlipTray go-live Dec-27</t>
  </si>
  <si>
    <t xml:space="preserve">9. OUTPUT: capitalised-labour depreciation by GL (added to PO rows 20 / 21, columns U:AF)</t>
  </si>
  <si>
    <t xml:space="preserve">5011 - SlipLift Depreciation - capitalised production labour</t>
  </si>
  <si>
    <t xml:space="preserve">-&gt; PO!U20:AF20 (added to row 80)</t>
  </si>
  <si>
    <t xml:space="preserve">5012 - SlipCarrier Depreciation - capitalised production labour</t>
  </si>
  <si>
    <t xml:space="preserve">-&gt; PO!U21:AF21 (added to row 81)</t>
  </si>
  <si>
    <t xml:space="preserve">Total capitalised-labour depreciation 2027</t>
  </si>
  <si>
    <t xml:space="preserve">Check: rows 193:194 less all labour vintage rows and rows 231:232 (must be 0; a non-0 means a GL is not 5011/5012)</t>
  </si>
  <si>
    <t xml:space="preserve">Total depreciation 2027 incl. capitalised labour (R83 + R195) = PO rows 19-22</t>
  </si>
  <si>
    <t xml:space="preserve">10. MEMO: where the capitalised labour sits</t>
  </si>
  <si>
    <t xml:space="preserve">Production payroll 2027 (Prod Payroll!S81)</t>
  </si>
  <si>
    <t xml:space="preserve">Capitalised labour from 2027 payroll (row 149, Jan-Dec 27)</t>
  </si>
  <si>
    <t xml:space="preserve">  in builds for 2027 go-lives (Feb-Oct 27 builds; Jan-27 rolls into Feb-27 when B135 = 1)</t>
  </si>
  <si>
    <t xml:space="preserve">  in builds for 2028 go-lives (Nov-Dec 27 builds): PP&amp;E not yet placed in service (CIP) at Dec-27</t>
  </si>
  <si>
    <t xml:space="preserve">Check: row 202 less rows 203:205 less the idle labour expensed in 2027 (R223) (must be 0)</t>
  </si>
  <si>
    <t xml:space="preserve">Capitalised labour from Sep-Dec 26 model months (row 149, B:E)</t>
  </si>
  <si>
    <t xml:space="preserve">  in Jan-Feb 27 go-lives (Nov-Dec 26 builds; 0 when B132 = 0)</t>
  </si>
  <si>
    <t xml:space="preserve">  in Nov-26 go-lives (Sep-26 builds): 0 when B132 = 0 (2026 labour is a 2026 period cost; the 2026 books expense 5100); with B132 = 1 depreciated in 2027 (R233)</t>
  </si>
  <si>
    <t xml:space="preserve">Depreciable labour in the 2027 go-live vintages (column D, rows 165-189)</t>
  </si>
  <si>
    <t xml:space="preserve">Check: row 210 less (row 203 + row 208) (must be 0)</t>
  </si>
  <si>
    <t xml:space="preserve">2027 depreciation of capitalised labour (R195)</t>
  </si>
  <si>
    <t xml:space="preserve">PP&amp;E in service at Dec-27: capitalised labour in the 2027 go-live vintages, net of their 2027 depreciation (row 210 - (row 212 - R233))</t>
  </si>
  <si>
    <t xml:space="preserve">Current staff at model rates, 2027 (rows 141:142)</t>
  </si>
  <si>
    <t xml:space="preserve">Average labour per SlipLift built in 2027 (rows 147, 150)</t>
  </si>
  <si>
    <t xml:space="preserve">Average labour per SlipTray built in 2027 (rows 148, 151)</t>
  </si>
  <si>
    <t xml:space="preserve">11. SWITCH LOGIC (added in v9): idle-month labour (B135), Sep-26 builds under B132, CapEx and Dec-27 balance sheet</t>
  </si>
  <si>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</si>
  <si>
    <t xml:space="preserve">Lift labour of a month with no lifts built, expensed (B135 = 0)</t>
  </si>
  <si>
    <t xml:space="preserve">Same pool as rows 152-155; with B135 = 0 nothing waits, so a month with no builds is expensed in full</t>
  </si>
  <si>
    <t xml:space="preserve">Tray labour of a month with no trays built, expensed (B135 = 0)</t>
  </si>
  <si>
    <t xml:space="preserve">Idle-month labour expensed - total</t>
  </si>
  <si>
    <t xml:space="preserve">Prod Payroll payroll-tax share of the month (rows 37 + 58 + 75) / row 81</t>
  </si>
  <si>
    <t xml:space="preserve">Prod Payroll benefits share of the month (rows 38 + 59 + 76) / row 81</t>
  </si>
  <si>
    <t xml:space="preserve">Idle labour expensed to 5110 - Salaries and Wages - Production (-&gt; PO row 33, U:AF)</t>
  </si>
  <si>
    <t xml:space="preserve">Jan-Dec 27 only (a 2026 month is outside the 2027 P&amp;L); rows 226:228 sum to row 223 (F:Q)</t>
  </si>
  <si>
    <t xml:space="preserve">Idle labour expensed to 5130 - Payroll Taxes - Production (-&gt; PO row 34, U:AF)</t>
  </si>
  <si>
    <t xml:space="preserve">Idle labour expensed to 5140 - Benefits - Production (-&gt; PO row 35, U:AF)</t>
  </si>
  <si>
    <t xml:space="preserve">Check: rows 226:228 less row 223, Jan-Dec 27 (must be 0)</t>
  </si>
  <si>
    <t xml:space="preserve">Sep-26 builds (Nov-26 go-lives): 2027 depreciation of their labour (0 when B132 = 0; same rule as the 2027 vintages)</t>
  </si>
  <si>
    <t xml:space="preserve">SlipLifts built Sep-Dec 26 that go live in 2026: labour depreciation</t>
  </si>
  <si>
    <t xml:space="preserve">Pooled labour (rows 152 / 154, B:E) of builds whose go-live (row 158) is in 2026, from go-live + B13; lives B9 / B10; -&gt; rows 193 / 194</t>
  </si>
  <si>
    <t xml:space="preserve">SlipTrays built Sep-Dec 26 that go live in 2026: labour depreciation</t>
  </si>
  <si>
    <t xml:space="preserve">Total (rows 231:232)</t>
  </si>
  <si>
    <t xml:space="preserve">Memo (v9): CapEx and the Dec-27 balance sheet of the capitalised labour</t>
  </si>
  <si>
    <t xml:space="preserve">CapEx increase in 2027 for production labour: 2027 payroll capitalised (R149 less the idle labour expensed, R223)</t>
  </si>
  <si>
    <t xml:space="preserve">Sep-Dec 26 labour capitalised (2026 CapEx; 0 when B132 = 0)</t>
  </si>
  <si>
    <t xml:space="preserve">PP&amp;E in service at Dec-27 (labour, net of 2027 depreciation) = B213</t>
  </si>
  <si>
    <t xml:space="preserve">PP&amp;E not yet placed in service (CIP) at Dec-27 (labour in builds for 2028 go-lives + labour waiting) = B204 + B205</t>
  </si>
  <si>
    <t xml:space="preserve">Idle-month labour expensed in 2027 (B135 = 0) = R223</t>
  </si>
  <si>
    <t xml:space="preserve">2027 depreciation of the Sep-26 builds' labour (B132 = 1) = R233</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</si>
  <si>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</si>
  <si>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</si>
  <si>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</si>
  <si>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</si>
  <si>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</si>
  <si>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</si>
  <si>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</si>
  <si>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</si>
  <si>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</si>
  <si>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</si>
  <si>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</si>
  <si>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</si>
  <si>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</si>
  <si>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</si>
  <si>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</si>
  <si>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</si>
  <si>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</si>
  <si>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</si>
  <si>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</si>
  <si>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</si>
  <si>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</si>
  <si>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</si>
  <si>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</si>
  <si>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</si>
  <si>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</si>
  <si>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</si>
  <si>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</si>
  <si>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</si>
  <si>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</si>
  <si>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</si>
  <si>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</si>
  <si>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</si>
  <si>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</si>
  <si>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</si>
  <si>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</si>
  <si>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</si>
  <si>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</si>
  <si>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</si>
  <si>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</si>
  <si>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</si>
  <si>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</si>
  <si>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</si>
  <si>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</si>
  <si>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</si>
  <si>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</si>
  <si>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</si>
  <si>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</si>
  <si>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</si>
  <si>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</si>
  <si>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</si>
  <si>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</si>
  <si>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</si>
  <si>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</si>
  <si>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</si>
  <si>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</si>
  <si>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</si>
  <si>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</si>
  <si>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</si>
  <si>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</si>
  <si>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</si>
  <si>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</si>
  <si>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</si>
  <si>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</si>
  <si>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</si>
  <si>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</si>
  <si>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</si>
  <si>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</si>
  <si>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</si>
  <si>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</si>
  <si>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</si>
  <si>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</si>
  <si>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</si>
  <si>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</si>
  <si>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</si>
  <si>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</si>
  <si>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</si>
  <si>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</si>
  <si>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</si>
  <si>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</si>
  <si>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</si>
  <si>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</si>
  <si>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</si>
  <si>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</si>
  <si>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</si>
  <si>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</si>
  <si>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</si>
  <si>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</si>
  <si>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</si>
  <si>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</si>
  <si>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</si>
  <si>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</si>
  <si>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</si>
  <si>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</si>
  <si>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</si>
  <si>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</si>
  <si>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</si>
  <si>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</si>
  <si>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</si>
  <si>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</si>
  <si>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</si>
  <si>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</si>
  <si>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</si>
  <si>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</si>
  <si>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</si>
  <si>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</si>
  <si>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</si>
  <si>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</si>
  <si>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</si>
  <si>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</si>
  <si>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</si>
  <si>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</si>
  <si>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</si>
  <si>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</si>
  <si>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</si>
  <si>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</si>
  <si>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</si>
  <si>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</si>
  <si>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</si>
  <si>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</si>
  <si>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</si>
  <si>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</si>
  <si>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</si>
  <si>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</si>
  <si>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</si>
  <si>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</si>
  <si>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</si>
  <si>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</si>
  <si>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</si>
  <si>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</si>
  <si>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</si>
  <si>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</si>
  <si>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</si>
  <si>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</si>
  <si>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</si>
  <si>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</si>
  <si>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</si>
  <si>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</si>
  <si>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</si>
  <si>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</si>
  <si>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</si>
  <si>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</si>
  <si>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</si>
  <si>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</si>
  <si>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</si>
  <si>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</si>
  <si>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</si>
  <si>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</si>
  <si>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</si>
  <si>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</si>
  <si>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</si>
  <si>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</si>
  <si>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</si>
  <si>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</si>
  <si>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</si>
  <si>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</si>
  <si>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</si>
  <si>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</si>
  <si>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</si>
  <si>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</si>
  <si>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</si>
  <si>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</si>
  <si>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</si>
  <si>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</si>
  <si>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</si>
  <si>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</si>
  <si>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</si>
  <si>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</si>
  <si>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</si>
  <si>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</si>
  <si>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</si>
  <si>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</si>
  <si>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</si>
  <si>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</si>
  <si>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</si>
  <si>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</si>
  <si>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</si>
  <si>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</si>
  <si>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</si>
  <si>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</si>
  <si>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</si>
  <si>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</si>
  <si>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</si>
  <si>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</si>
  <si>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</si>
  <si>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</si>
  <si>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</si>
  <si>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</si>
  <si>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</si>
  <si>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</si>
  <si>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</si>
  <si>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</si>
  <si>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</si>
  <si>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</si>
  <si>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</si>
  <si>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</si>
  <si>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</si>
  <si>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</si>
  <si>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</si>
  <si>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</si>
  <si>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</si>
  <si>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</si>
  <si>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</si>
  <si>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</si>
  <si>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</si>
  <si>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</si>
  <si>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</si>
  <si>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</si>
  <si>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</si>
  <si>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</si>
  <si>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</si>
  <si>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</si>
  <si>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</si>
  <si>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</si>
  <si>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</si>
  <si>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</si>
  <si>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</si>
  <si>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</si>
  <si>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</si>
  <si>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</si>
  <si>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</si>
  <si>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</si>
  <si>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</si>
  <si>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</si>
  <si>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</si>
  <si>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</si>
  <si>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</si>
  <si>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</si>
  <si>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</si>
  <si>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</si>
  <si>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</si>
  <si>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</si>
  <si>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</si>
  <si>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</si>
  <si>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</si>
  <si>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</si>
  <si>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</si>
  <si>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</si>
  <si>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</si>
  <si>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</si>
  <si>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</si>
  <si>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</si>
  <si>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</si>
  <si>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</si>
  <si>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</si>
  <si>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</si>
  <si>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</si>
  <si>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</si>
  <si>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</si>
  <si>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</si>
  <si>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</si>
  <si>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</si>
  <si>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</si>
  <si>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</si>
  <si>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</si>
  <si>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</si>
  <si>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</si>
  <si>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</si>
  <si>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</si>
  <si>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</si>
  <si>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</si>
  <si>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</si>
  <si>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</si>
  <si>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</si>
  <si>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</si>
  <si>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</si>
  <si>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</si>
  <si>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</si>
  <si>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</si>
  <si>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</si>
  <si>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</si>
  <si>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</si>
  <si>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</si>
  <si>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</si>
  <si>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</si>
  <si>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</si>
  <si>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</si>
  <si>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</si>
  <si>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</si>
  <si>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</si>
  <si>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</si>
  <si>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</si>
  <si>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</si>
  <si>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</si>
  <si>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</si>
  <si>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</si>
  <si>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</si>
  <si>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</si>
  <si>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</si>
  <si>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</si>
  <si>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</si>
  <si>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</si>
  <si>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</si>
  <si>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</si>
  <si>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</si>
  <si>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</si>
  <si>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</si>
  <si>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</si>
  <si>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</si>
  <si>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</si>
  <si>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</si>
  <si>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</si>
  <si>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</si>
  <si>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</si>
  <si>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</si>
  <si>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</si>
  <si>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</si>
  <si>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</si>
  <si>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</si>
  <si>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</si>
  <si>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</si>
  <si>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</si>
  <si>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</si>
  <si>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</si>
  <si>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</si>
  <si>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</si>
  <si>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</si>
  <si>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</si>
  <si>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</si>
  <si>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</si>
  <si>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</si>
  <si>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</si>
  <si>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</si>
  <si>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</si>
  <si>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</si>
  <si>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</si>
  <si>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</si>
  <si>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</si>
  <si>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</si>
  <si>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</si>
  <si>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</si>
  <si>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</si>
  <si>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</si>
  <si>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</si>
  <si>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</si>
  <si>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</si>
  <si>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</si>
  <si>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</si>
  <si>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</si>
  <si>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</si>
  <si>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</si>
  <si>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</si>
  <si>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</si>
  <si>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</si>
  <si>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</si>
  <si>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</si>
  <si>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</si>
  <si>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</si>
  <si>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</si>
  <si>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</si>
  <si>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</si>
  <si>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</si>
  <si>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</si>
  <si>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</si>
  <si>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</si>
  <si>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</si>
  <si>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</si>
  <si>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</si>
  <si>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</si>
  <si>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</si>
  <si>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</si>
  <si>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</si>
  <si>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</si>
  <si>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</si>
  <si>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</si>
  <si>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</si>
  <si>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</si>
  <si>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</si>
  <si>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</si>
  <si>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</si>
  <si>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</si>
  <si>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</si>
  <si>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</si>
  <si>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</si>
  <si>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</si>
  <si>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</si>
  <si>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</si>
  <si>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</si>
  <si>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</si>
  <si>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</si>
  <si>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</si>
  <si>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</si>
  <si>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</si>
  <si>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</si>
  <si>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</si>
  <si>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</si>
  <si>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</si>
  <si>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</si>
  <si>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</si>
  <si>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</si>
  <si>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</si>
  <si>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</si>
  <si>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</si>
  <si>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</si>
  <si>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</si>
  <si>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</si>
  <si>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</si>
  <si>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</si>
  <si>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</si>
  <si>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</si>
  <si>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</si>
  <si>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</si>
  <si>
    <t xml:space="preserve">Slip Robotics, Inc.</t>
  </si>
  <si>
    <t xml:space="preserve">FIELD OPERATIONS (FO) — 16 Month Headcount &amp; Labor Build  (Sep-2026 → Dec-2027)</t>
  </si>
  <si>
    <t xml:space="preserve">Build labor by employee for 16 months: Sep-2026 through Dec-2027. Pick Start and End months from the dropdown (End defaults to Dec-27). Leave Start blank for unfilled positions. Salaries / Taxes / Benefits flow to the Budget file.</t>
  </si>
  <si>
    <t xml:space="preserve">Leader: COO    |    Dept Code: FO    |    P&amp;L Classification: COGS    |    GL Accounts — Salaries 5510 · Taxes 5530 · Benefits 5540</t>
  </si>
  <si>
    <t xml:space="preserve">ASSUMPTIONS</t>
  </si>
  <si>
    <t xml:space="preserve">Employer payroll tax rate (% of wages)</t>
  </si>
  <si>
    <t xml:space="preserve">Benefits load (% of salary)</t>
  </si>
  <si>
    <t xml:space="preserve">Annual Increase Month in Budget year</t>
  </si>
  <si>
    <t xml:space="preserve">Annual</t>
  </si>
  <si>
    <t xml:space="preserve">Increase</t>
  </si>
  <si>
    <t xml:space="preserve">Employee</t>
  </si>
  <si>
    <t xml:space="preserve">Title</t>
  </si>
  <si>
    <t xml:space="preserve">Annual Salary</t>
  </si>
  <si>
    <t xml:space="preserve">Start Month</t>
  </si>
  <si>
    <t xml:space="preserve">End Month</t>
  </si>
  <si>
    <t xml:space="preserve">Annual Increase</t>
  </si>
  <si>
    <t xml:space="preserve">Increase Month</t>
  </si>
  <si>
    <t xml:space="preserve">2027 Total</t>
  </si>
  <si>
    <t xml:space="preserve">Input check</t>
  </si>
  <si>
    <t xml:space="preserve">(pick from list)</t>
  </si>
  <si>
    <t xml:space="preserve">Month index →</t>
  </si>
  <si>
    <t xml:space="preserve">Current Employees</t>
  </si>
  <si>
    <t xml:space="preserve">Gavin Grizzle</t>
  </si>
  <si>
    <t xml:space="preserve">Field Technician</t>
  </si>
  <si>
    <t xml:space="preserve">James Murphy</t>
  </si>
  <si>
    <t xml:space="preserve">Adam Trostle</t>
  </si>
  <si>
    <t xml:space="preserve">Joe Byers</t>
  </si>
  <si>
    <t xml:space="preserve">Chad Seyfried</t>
  </si>
  <si>
    <t xml:space="preserve">Benjamin Phillips</t>
  </si>
  <si>
    <t xml:space="preserve">Brian McSween</t>
  </si>
  <si>
    <t xml:space="preserve">Rebecca Tien</t>
  </si>
  <si>
    <t xml:space="preserve">Operations Coordinator</t>
  </si>
  <si>
    <t xml:space="preserve">Juan Rodriguez</t>
  </si>
  <si>
    <t xml:space="preserve">Shanndon Ferguson</t>
  </si>
  <si>
    <t xml:space="preserve">Bernadette Sanchez</t>
  </si>
  <si>
    <t xml:space="preserve">Isaiah Swallow</t>
  </si>
  <si>
    <t xml:space="preserve">Field Maintenance Manager</t>
  </si>
  <si>
    <t xml:space="preserve">Nathan Copas</t>
  </si>
  <si>
    <t xml:space="preserve">Rohail Ayyub</t>
  </si>
  <si>
    <t xml:space="preserve">Fayzel De Leon</t>
  </si>
  <si>
    <t xml:space="preserve">Michael Yunker</t>
  </si>
  <si>
    <t xml:space="preserve">Open Positions</t>
  </si>
  <si>
    <t xml:space="preserve">New Hires</t>
  </si>
  <si>
    <t xml:space="preserve">From Dept</t>
  </si>
  <si>
    <t xml:space="preserve">Transfers In  (arriving from another department — cost starts here)</t>
  </si>
  <si>
    <t xml:space="preserve">To Dept</t>
  </si>
  <si>
    <t xml:space="preserve">Transfers Out  (leaving to another department — MEMO ONLY, no cost; set this person's End Month above to the month before they leave)</t>
  </si>
  <si>
    <t xml:space="preserve">Total Salaries &amp; Wages</t>
  </si>
  <si>
    <t xml:space="preserve">Total Payroll</t>
  </si>
  <si>
    <t xml:space="preserve">PRODUCTION OPERATIONS (PO) — 16 Month Headcount &amp; Labor Build  (Sep-2026 → Dec-2027)</t>
  </si>
  <si>
    <t xml:space="preserve">Leader: COO    |    Dept Code: PO    |    P&amp;L Classification: COGS    |    GL Accounts — Salaries 5110 · Taxes 5130 · Benefits 5140</t>
  </si>
  <si>
    <t xml:space="preserve">Jose Pagan</t>
  </si>
  <si>
    <t xml:space="preserve">Team Lead</t>
  </si>
  <si>
    <t xml:space="preserve">x</t>
  </si>
  <si>
    <t xml:space="preserve">JB Bryant</t>
  </si>
  <si>
    <t xml:space="preserve">Servando Flores Barrios</t>
  </si>
  <si>
    <t xml:space="preserve">Material Handling Team Lead</t>
  </si>
  <si>
    <t xml:space="preserve">Oz Exposito</t>
  </si>
  <si>
    <t xml:space="preserve">Senior Production Technician</t>
  </si>
  <si>
    <t xml:space="preserve">Todd VanDyke</t>
  </si>
  <si>
    <t xml:space="preserve">Johnathan Argueta</t>
  </si>
  <si>
    <t xml:space="preserve">Production Technician</t>
  </si>
  <si>
    <t xml:space="preserve">Austin Steed</t>
  </si>
  <si>
    <t xml:space="preserve">Material Handler</t>
  </si>
  <si>
    <t xml:space="preserve">Jason Price</t>
  </si>
  <si>
    <t xml:space="preserve">Production Associate</t>
  </si>
  <si>
    <t xml:space="preserve">Mose Carter</t>
  </si>
  <si>
    <t xml:space="preserve">CENTRAL OPERATIONS (CO) — 16 Month Headcount &amp; Labor Build  (Sep-2026 → Dec-2027)</t>
  </si>
  <si>
    <t xml:space="preserve">Leader: COO    |    Dept Code: CO    |    P&amp;L Classification: SG&amp;A    |    GL Accounts — Salaries 6610 · Taxes 6630 · Benefits 6640</t>
  </si>
  <si>
    <t xml:space="preserve">Ada Sierraalta</t>
  </si>
  <si>
    <t xml:space="preserve">Senior Strategic Program Manager, Operations</t>
  </si>
  <si>
    <t xml:space="preserve">Thomas Disney</t>
  </si>
  <si>
    <t xml:space="preserve">Digital Operations Automation Engineer</t>
  </si>
  <si>
    <t xml:space="preserve">Aaron Smith</t>
  </si>
  <si>
    <t xml:space="preserve">Engineering Technician</t>
  </si>
  <si>
    <t xml:space="preserve">William Welser</t>
  </si>
  <si>
    <t xml:space="preserve">Field Logistics Manager</t>
  </si>
  <si>
    <t xml:space="preserve">Patrick Chism</t>
  </si>
  <si>
    <t xml:space="preserve">(title not provided; new CO employee, user-confirmed 2026-10-10)</t>
  </si>
  <si>
    <t xml:space="preserve">Blake Bertero</t>
  </si>
  <si>
    <t xml:space="preserve">Operations Project Manager</t>
  </si>
  <si>
    <t xml:space="preserve">FIELD ENGINEERING (FE) — 16 Month Headcount &amp; Labor Build  (Sep-2026 → Dec-2027)</t>
  </si>
  <si>
    <t xml:space="preserve">Leader: COO    |    Dept Code: FE    |    P&amp;L Classification: SG&amp;A    |    GL Accounts — Salaries 6610 · Taxes 6630 · Benefits 6640</t>
  </si>
  <si>
    <t xml:space="preserve">Hogan Welch</t>
  </si>
  <si>
    <t xml:space="preserve">Senior Field Robotics Engineer</t>
  </si>
  <si>
    <t xml:space="preserve">James Mead</t>
  </si>
  <si>
    <t xml:space="preserve">Associate Field Robotics Engineer</t>
  </si>
  <si>
    <t xml:space="preserve">Rasheen Henry</t>
  </si>
  <si>
    <t xml:space="preserve">Head of Service Delivery</t>
  </si>
  <si>
    <t xml:space="preserve">Seng Goo</t>
  </si>
  <si>
    <t xml:space="preserve">Customer Support Manager</t>
  </si>
  <si>
    <t xml:space="preserve">Jessica Landaverde</t>
  </si>
  <si>
    <t xml:space="preserve">Customer Support Specialist</t>
  </si>
  <si>
    <t xml:space="preserve">Elizabeth Ferry</t>
  </si>
  <si>
    <t xml:space="preserve">backfill</t>
  </si>
  <si>
    <t xml:space="preserve">Field Engineer Manager</t>
  </si>
  <si>
    <t xml:space="preserve">Field Engineer</t>
  </si>
  <si>
    <t xml:space="preserve">PRODUCTION ENGINEERING (PE) — 16 Month Headcount &amp; Labor Build  (Sep-2026 → Dec-2027)</t>
  </si>
  <si>
    <t xml:space="preserve">Leader: COO    |    Dept Code: PE    |    P&amp;L Classification: SG&amp;A    |    GL Accounts — Salaries 6610 · Taxes 6630 · Benefits 6640</t>
  </si>
  <si>
    <t xml:space="preserve">Katie Landers</t>
  </si>
  <si>
    <t xml:space="preserve">Senior Industrial Engineer</t>
  </si>
  <si>
    <t xml:space="preserve">Adam Hawkins</t>
  </si>
  <si>
    <t xml:space="preserve">Manufacturing Engineer</t>
  </si>
  <si>
    <t xml:space="preserve">Lan Le</t>
  </si>
  <si>
    <t xml:space="preserve">Purchasing Analyst</t>
  </si>
  <si>
    <t xml:space="preserve">Marques Reed</t>
  </si>
  <si>
    <t xml:space="preserve">Head of Quality</t>
  </si>
  <si>
    <t xml:space="preserve">Daniel Broadnax</t>
  </si>
  <si>
    <t xml:space="preserve">Quality Inspector</t>
  </si>
  <si>
    <t xml:space="preserve">Grant Wilson</t>
  </si>
  <si>
    <t xml:space="preserve">Supply Chain Project Manager</t>
  </si>
  <si>
    <t xml:space="preserve">Stephanie Smith</t>
  </si>
  <si>
    <t xml:space="preserve">Strategic Sourcing Analyst</t>
  </si>
  <si>
    <t xml:space="preserve">Will Long</t>
  </si>
  <si>
    <t xml:space="preserve">Industrial Engineer</t>
  </si>
  <si>
    <t xml:space="preserve">transfer?</t>
  </si>
  <si>
    <t xml:space="preserve">Drew Nelson</t>
  </si>
  <si>
    <t xml:space="preserve">Head of Production and Delivery</t>
  </si>
  <si>
    <t xml:space="preserve">COO — ORGANIZATION ROLL-UP  |  Sep-2026 → Dec-2027  |  2027 Budget Planning</t>
  </si>
  <si>
    <t xml:space="preserve">Rolls up the department tabs in this workbook. All figures are formulas — edit the department tabs, not this one. Transfers between departments net to zero only at the total-company level (Org Total tab).</t>
  </si>
  <si>
    <t xml:space="preserve">Department Name</t>
  </si>
  <si>
    <t xml:space="preserve">P&amp;L</t>
  </si>
  <si>
    <t xml:space="preserve">COGS</t>
  </si>
  <si>
    <t xml:space="preserve">SG&amp;A</t>
  </si>
  <si>
    <t xml:space="preserve">Total Salaries &amp; Wages — COO Total</t>
  </si>
  <si>
    <t xml:space="preserve">Payroll Taxes — COO Total</t>
  </si>
  <si>
    <t xml:space="preserve">Benefits — COO Total</t>
  </si>
  <si>
    <t xml:space="preserve">Total Payroll — COO Total</t>
  </si>
  <si>
    <t xml:space="preserve">Total Payroll by P&amp;L Classification</t>
  </si>
  <si>
    <t xml:space="preserve">Total Payroll — COO</t>
  </si>
  <si>
    <t xml:space="preserve">Check: ties to Total Payroll above (should be zero)</t>
  </si>
  <si>
    <t xml:space="preserve">Transfers In — Cost Landing in This Organization ($)</t>
  </si>
  <si>
    <t xml:space="preserve">Total Transfers In — COO</t>
  </si>
  <si>
    <t xml:space="preserve">Transfer Headcount Activity (people moving, by effective month)</t>
  </si>
  <si>
    <t xml:space="preserve">Transfers In (headcount)</t>
  </si>
  <si>
    <t xml:space="preserve">Transfers Out (headcount)</t>
  </si>
  <si>
    <t xml:space="preserve">Net Headcount Change from Transfers</t>
  </si>
  <si>
    <t xml:space="preserve">Headcount (#) — Active Employees by Month</t>
  </si>
  <si>
    <t xml:space="preserve">Dec-27 Ending</t>
  </si>
  <si>
    <t xml:space="preserve">Total Headcount — COO Total</t>
  </si>
  <si>
    <t xml:space="preserve">Headcount by P&amp;L Classification (#)</t>
  </si>
  <si>
    <t xml:space="preserve">Total Headcount — COO</t>
  </si>
  <si>
    <t xml:space="preserve">Check: ties to Total Headcount above (should be zero)</t>
  </si>
  <si>
    <t xml:space="preserve">Logistics &amp; Warehouse Payroll – Production Ops (Sep-26 to Dec-27)</t>
  </si>
  <si>
    <t xml:space="preserve">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</si>
  <si>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 xml:space="preserve">Fld Ops Payroll B7</t>
  </si>
  <si>
    <t xml:space="preserve">Fld Ops Payroll B8</t>
  </si>
  <si>
    <t xml:space="preserve">Prod Payroll M5</t>
  </si>
  <si>
    <t xml:space="preserve">Prod Payroll M6</t>
  </si>
  <si>
    <t xml:space="preserve">Prod Payroll M9</t>
  </si>
  <si>
    <t xml:space="preserve">New-hire cost ($ / hire)</t>
  </si>
  <si>
    <t xml:space="preserve">Prod Payroll M7 (production new-hire cost)</t>
  </si>
  <si>
    <t xml:space="preserve">Paid hours per year, hourly roles</t>
  </si>
  <si>
    <t xml:space="preserve">Warehouse Team 2027 Pay Budget, Assumptions tab</t>
  </si>
  <si>
    <t xml:space="preserve">HEADCOUNT BY SEAT (#)</t>
  </si>
  <si>
    <t xml:space="preserve">Pay type</t>
  </si>
  <si>
    <t xml:space="preserve">Rate ($/hr or $/yr)</t>
  </si>
  <si>
    <t xml:space="preserve">Annualized base ($)</t>
  </si>
  <si>
    <t xml:space="preserve">Raise-eligible</t>
  </si>
  <si>
    <t xml:space="preserve">LOG-01 Logistics Manager (William Welser)</t>
  </si>
  <si>
    <t xml:space="preserve">Hourly</t>
  </si>
  <si>
    <t xml:space="preserve">MH-01 Material Handler (Austin Steed)</t>
  </si>
  <si>
    <t xml:space="preserve">MH-02 Material Handler (backfill for Servando Flores)</t>
  </si>
  <si>
    <t xml:space="preserve">Total headcount</t>
  </si>
  <si>
    <t xml:space="preserve">New hires (#)</t>
  </si>
  <si>
    <t xml:space="preserve">HEADCOUNT BY TEAM (#)</t>
  </si>
  <si>
    <t xml:space="preserve">PAYROLL BY SEAT ($)</t>
  </si>
  <si>
    <t xml:space="preserve">Total logistics &amp; warehouse payroll</t>
  </si>
  <si>
    <t xml:space="preserve">ROLL-UP TO PRODUCTION OPS</t>
  </si>
  <si>
    <t xml:space="preserve">Headcount (end of period)</t>
  </si>
  <si>
    <t xml:space="preserve">Logistics &amp; warehouse payroll ($)</t>
  </si>
  <si>
    <t xml:space="preserve">CHECKS</t>
  </si>
  <si>
    <t xml:space="preserve">FY2027 base pay, all 11 seats, per Warehouse Team 2027 Pay Budget</t>
  </si>
  <si>
    <t xml:space="preserve">Less: LOG-02 Rebecca Tien (budgeted in Fld Ops Payroll)</t>
  </si>
  <si>
    <t xml:space="preserve">Less: MH-05 Material Handler, logistics support (counted on the FO tab)</t>
  </si>
  <si>
    <t xml:space="preserve">Material Handler rate in warehouse budget ($ / hour)</t>
  </si>
  <si>
    <t xml:space="preserve">Add: Material Handler rate aligned to Austin (MH-02, MH-03, MH-04, MH-06)</t>
  </si>
  <si>
    <t xml:space="preserve">FY2027 base pay on this tab, before raise</t>
  </si>
  <si>
    <t xml:space="preserve">Difference (should be 0)</t>
  </si>
  <si>
    <t xml:space="preserve">NOTES AND ASSUMPTIONS</t>
  </si>
  <si>
    <t xml:space="preserve">Sources and classification</t>
  </si>
  <si>
    <t xml:space="preserve">1. Sources: Warehouse Team 2027 Pay Budget (Headcount 2027 tab) and the Warehouse Team Org Chart (end-of-2027 view), both read Oct 7, 2026. Seat inputs (team, start month, pay type, rate) sit in columns T to Y of the headcount table.</t>
  </si>
  <si>
    <t xml:space="preserve">2. William Welser (LOG-01, Logistics Manager) is classified as Central Operations.</t>
  </si>
  <si>
    <t xml:space="preserve">3. Rebecca Tien (Logistics Coordinator) moves under the Logistics Manager per the org chart but stays budgeted in Fld Ops Payroll (rows 76–80), so she is not on this tab. MH-05 (Material Handler, logistics support for Rebecca, Mar-27) is counted on the FO tab and is not on this tab.</t>
  </si>
  <si>
    <t xml:space="preserve">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</si>
  <si>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 xml:space="preserve">Staffing model (org chart)</t>
  </si>
  <si>
    <t xml:space="preserve">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</si>
  <si>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 xml:space="preserve">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</si>
  <si>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 xml:space="preserve">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</si>
  <si>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 xml:space="preserve">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</si>
  <si>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 xml:space="preserve">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</si>
  <si>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 xml:space="preserve">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</si>
  <si>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 xml:space="preserve">11. Cross-training: every Material Handler is cross-trained on all floor functions and cycle counts and keeps a primary area, so one shift can cover absences.</t>
  </si>
  <si>
    <t xml:space="preserve">12. Timing: TL-01 (Dec-26) and the MH-02 backfill (Oct-26) also land in the Sep–Dec 2026 forecast.</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</si>
</sst>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
    <numFmt numFmtId="178" formatCode="@"/>
    <numFmt numFmtId="179" formatCode="#,##0.00"/>
    <numFmt numFmtId="180" formatCode="0.0"/>
    <numFmt numFmtId="181" formatCode="\$#,##0"/>
    <numFmt numFmtId="182" formatCode="#,##0"/>
    <numFmt numFmtId="183" formatCode="\$#,##0.00;&quot;($&quot;#,##0.00\);\-"/>
    <numFmt numFmtId="184" formatCode="\$#,##0_);&quot;($&quot;#,##0\)"/>
    <numFmt numFmtId="185" formatCode="\$#,##0.00_);&quot;($&quot;#,##0.00\)"/>
    <numFmt numFmtId="186" formatCode="0.0\x"/>
    <numFmt numFmtId="187" formatCode="0.0;\(0.0\);\-"/>
    <numFmt numFmtId="188" formatCode="\$#,##0.00"/>
    <numFmt numFmtId="189" formatCode="mmm\-d"/>
    <numFmt numFmtId="190" formatCode="\$#,##0"/>
    <numFmt numFmtId="191" formatCode="\$#,##0;&quot;($&quot;#,##0\);0"/>
    <numFmt numFmtId="192" formatCode="\$#,##0;&quot;($&quot;#,##0\);\-"/>
    <numFmt numFmtId="193" formatCode="0;\(0\);\-"/>
    <numFmt numFmtId="194" formatCode="#,##0;\(#,##0\);\-"/>
    <numFmt numFmtId="195" formatCode="\$#,##0.00"/>
  </numFmts>
  <fonts count="79">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2"/>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sz val="11"/>
      <color rgb="FF000000"/>
      <name val="Calibri"/>
      <family val="2"/>
      <charset val="1"/>
    </font>
    <font>
      <b val="true"/>
      <sz val="14"/>
      <color rgb="FF000000"/>
      <name val="Calibri"/>
      <family val="2"/>
      <charset val="1"/>
    </font>
    <font>
      <b val="true"/>
      <sz val="12"/>
      <color rgb="FFC00000"/>
      <name val="Calibri"/>
      <family val="2"/>
      <charset val="1"/>
    </font>
    <font>
      <i val="true"/>
      <sz val="9"/>
      <color rgb="FF666666"/>
      <name val="Calibri"/>
      <family val="2"/>
      <charset val="1"/>
    </font>
    <font>
      <b val="true"/>
      <sz val="11"/>
      <color rgb="FF1F4E78"/>
      <name val="Calibri"/>
      <family val="2"/>
      <charset val="1"/>
    </font>
    <font>
      <b val="true"/>
      <sz val="11"/>
      <color rgb="FF000000"/>
      <name val="Calibri"/>
      <family val="2"/>
      <charset val="1"/>
    </font>
    <font>
      <b val="true"/>
      <sz val="11"/>
      <color rgb="FF008000"/>
      <name val="Calibri"/>
      <family val="2"/>
      <charset val="1"/>
    </font>
    <font>
      <sz val="11"/>
      <color rgb="FFFF0000"/>
      <name val="Calibri"/>
      <family val="2"/>
      <charset val="1"/>
    </font>
    <font>
      <b val="true"/>
      <sz val="11"/>
      <color rgb="FF0000CC"/>
      <name val="Calibri"/>
      <family val="2"/>
      <charset val="1"/>
    </font>
    <font>
      <b val="true"/>
      <sz val="11"/>
      <color rgb="FFFFFFFF"/>
      <name val="Calibri"/>
      <family val="2"/>
      <charset val="1"/>
    </font>
    <font>
      <b val="true"/>
      <sz val="11"/>
      <name val="Calibri"/>
      <family val="2"/>
      <charset val="1"/>
    </font>
    <font>
      <b val="true"/>
      <sz val="11"/>
      <color rgb="FFFF0000"/>
      <name val="Calibri"/>
      <family val="2"/>
      <charset val="1"/>
    </font>
    <font>
      <b val="true"/>
      <sz val="11"/>
      <color rgb="FF999999"/>
      <name val="Calibri"/>
      <family val="2"/>
      <charset val="1"/>
    </font>
    <font>
      <b val="true"/>
      <i val="true"/>
      <sz val="11"/>
      <color rgb="FF385723"/>
      <name val="Calibri"/>
      <family val="2"/>
      <charset val="1"/>
    </font>
    <font>
      <sz val="11"/>
      <color rgb="FF0000FF"/>
      <name val="Calibri"/>
      <family val="2"/>
      <charset val="1"/>
    </font>
    <font>
      <sz val="11"/>
      <name val="Calibri"/>
      <family val="2"/>
      <charset val="1"/>
    </font>
    <font>
      <sz val="11"/>
      <color rgb="FFC00000"/>
      <name val="Calibri"/>
      <family val="2"/>
      <charset val="1"/>
    </font>
    <font>
      <b val="true"/>
      <sz val="11"/>
      <color rgb="FF000000"/>
      <name val="Tahoma"/>
      <family val="2"/>
      <charset val="1"/>
    </font>
    <font>
      <i val="true"/>
      <sz val="11"/>
      <color rgb="FF000000"/>
      <name val="Calibri"/>
      <family val="2"/>
      <charset val="1"/>
    </font>
    <font>
      <sz val="9"/>
      <color rgb="FF000000"/>
      <name val="Tahoma"/>
      <family val="2"/>
      <charset val="1"/>
    </font>
    <font>
      <b val="true"/>
      <sz val="14"/>
      <color rgb="FF000000"/>
      <name val="Calibri"/>
      <family val="0"/>
      <charset val="1"/>
    </font>
    <font>
      <sz val="11"/>
      <color rgb="FF000000"/>
      <name val="Calibri"/>
      <family val="0"/>
      <charset val="1"/>
    </font>
    <font>
      <i val="true"/>
      <sz val="10"/>
      <color rgb="FF000000"/>
      <name val="Calibri"/>
      <family val="0"/>
      <charset val="1"/>
    </font>
    <font>
      <sz val="11"/>
      <color rgb="FF007F00"/>
      <name val="Calibri"/>
      <family val="0"/>
      <charset val="1"/>
    </font>
    <font>
      <b val="true"/>
      <sz val="11"/>
      <color rgb="FF000000"/>
      <name val="Calibri"/>
      <family val="0"/>
      <charset val="1"/>
    </font>
    <font>
      <b val="true"/>
      <i val="true"/>
      <sz val="11"/>
      <color rgb="FF000000"/>
      <name val="Calibri"/>
      <family val="0"/>
      <charset val="1"/>
    </font>
  </fonts>
  <fills count="25">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7D6"/>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FFF7D6"/>
      </patternFill>
    </fill>
    <fill>
      <patternFill patternType="solid">
        <fgColor rgb="FFF8CBAD"/>
        <bgColor rgb="FFF6C6AD"/>
      </patternFill>
    </fill>
    <fill>
      <patternFill patternType="solid">
        <fgColor rgb="FFFFE699"/>
        <bgColor rgb="FFFFF2CC"/>
      </patternFill>
    </fill>
    <fill>
      <patternFill patternType="solid">
        <fgColor rgb="FFD9D9D9"/>
        <bgColor rgb="FFD8D8D8"/>
      </patternFill>
    </fill>
    <fill>
      <patternFill patternType="solid">
        <fgColor rgb="FFFFF2CC"/>
        <bgColor rgb="FFFFF7D6"/>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solid">
        <fgColor rgb="FFFFF7D6"/>
        <bgColor rgb="FFFFF2CC"/>
      </patternFill>
    </fill>
    <fill>
      <patternFill patternType="solid">
        <fgColor rgb="FF1F4E78"/>
        <bgColor rgb="FF1F3864"/>
      </patternFill>
    </fill>
    <fill>
      <patternFill patternType="solid">
        <fgColor rgb="FFFFCC66"/>
        <bgColor rgb="FFF8CBAD"/>
      </patternFill>
    </fill>
    <fill>
      <patternFill patternType="solid">
        <fgColor rgb="FF385723"/>
        <bgColor rgb="FF275317"/>
      </patternFill>
    </fill>
  </fills>
  <borders count="18">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center"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4" borderId="0" xfId="0" applyFont="true" applyBorder="false" applyAlignment="true" applyProtection="true">
      <alignment horizontal="center" vertical="bottom" textRotation="0" wrapText="false" indent="0" shrinkToFit="false"/>
      <protection locked="true" hidden="false"/>
    </xf>
    <xf numFmtId="164" fontId="11" fillId="4" borderId="0" xfId="0" applyFont="true" applyBorder="false" applyAlignment="true" applyProtection="true">
      <alignment horizontal="center" vertical="bottom" textRotation="0" wrapText="false" indent="0" shrinkToFit="false"/>
      <protection locked="true" hidden="false"/>
    </xf>
    <xf numFmtId="164" fontId="11" fillId="5"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8" fontId="10" fillId="4" borderId="0" xfId="0" applyFont="true" applyBorder="false" applyAlignment="true" applyProtection="true">
      <alignment horizontal="center" vertical="bottom" textRotation="0" wrapText="false" indent="0" shrinkToFit="false"/>
      <protection locked="true" hidden="false"/>
    </xf>
    <xf numFmtId="168" fontId="10" fillId="5" borderId="0" xfId="0" applyFont="true" applyBorder="fals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left" vertical="bottom" textRotation="0" wrapText="false" indent="0" shrinkToFit="false"/>
      <protection locked="true" hidden="false"/>
    </xf>
    <xf numFmtId="167" fontId="10" fillId="0" borderId="3" xfId="0" applyFont="true" applyBorder="true" applyAlignment="true" applyProtection="true">
      <alignment horizontal="general" vertical="bottom" textRotation="0" wrapText="false" indent="0" shrinkToFit="false"/>
      <protection locked="true" hidden="false"/>
    </xf>
    <xf numFmtId="166" fontId="10" fillId="0" borderId="3" xfId="0" applyFont="true" applyBorder="true" applyAlignment="true" applyProtection="true">
      <alignment horizontal="general" vertical="bottom" textRotation="0" wrapText="false" indent="0" shrinkToFit="false"/>
      <protection locked="true" hidden="false"/>
    </xf>
    <xf numFmtId="164" fontId="12" fillId="6" borderId="2" xfId="0" applyFont="true" applyBorder="true" applyAlignment="true" applyProtection="true">
      <alignment horizontal="left" vertical="bottom" textRotation="0" wrapText="false" indent="0" shrinkToFit="false"/>
      <protection locked="true" hidden="false"/>
    </xf>
    <xf numFmtId="167" fontId="10" fillId="6" borderId="3" xfId="0" applyFont="true" applyBorder="true" applyAlignment="true" applyProtection="true">
      <alignment horizontal="general" vertical="bottom" textRotation="0" wrapText="false" indent="0" shrinkToFit="false"/>
      <protection locked="true" hidden="false"/>
    </xf>
    <xf numFmtId="166" fontId="10" fillId="6" borderId="3" xfId="0" applyFont="true" applyBorder="true" applyAlignment="true" applyProtection="true">
      <alignment horizontal="general" vertical="bottom" textRotation="0" wrapText="false" indent="0" shrinkToFit="false"/>
      <protection locked="true" hidden="false"/>
    </xf>
    <xf numFmtId="167" fontId="10" fillId="0" borderId="4" xfId="0" applyFont="true" applyBorder="true" applyAlignment="true" applyProtection="true">
      <alignment horizontal="general" vertical="bottom" textRotation="0" wrapText="false" indent="0" shrinkToFit="false"/>
      <protection locked="true" hidden="false"/>
    </xf>
    <xf numFmtId="166" fontId="10" fillId="0" borderId="4"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2" fillId="7" borderId="2" xfId="0" applyFont="true" applyBorder="true" applyAlignment="true" applyProtection="true">
      <alignment horizontal="left" vertical="bottom" textRotation="0" wrapText="false" indent="0" shrinkToFit="false"/>
      <protection locked="true" hidden="false"/>
    </xf>
    <xf numFmtId="167" fontId="10" fillId="7" borderId="3" xfId="0" applyFont="true" applyBorder="true" applyAlignment="true" applyProtection="true">
      <alignment horizontal="general" vertical="bottom" textRotation="0" wrapText="false" indent="0" shrinkToFit="false"/>
      <protection locked="true" hidden="false"/>
    </xf>
    <xf numFmtId="166" fontId="10" fillId="7" borderId="3"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general" vertical="bottom" textRotation="0" wrapText="false" indent="0" shrinkToFit="false"/>
      <protection locked="true" hidden="false"/>
    </xf>
    <xf numFmtId="169" fontId="16" fillId="0" borderId="6" xfId="0" applyFont="true" applyBorder="true" applyAlignment="true" applyProtection="true">
      <alignment horizontal="general" vertical="bottom" textRotation="0" wrapText="false" indent="0" shrinkToFit="false"/>
      <protection locked="true" hidden="false"/>
    </xf>
    <xf numFmtId="169" fontId="17" fillId="0" borderId="6" xfId="0" applyFont="true" applyBorder="true" applyAlignment="true" applyProtection="true">
      <alignment horizontal="right" vertical="bottom" textRotation="0" wrapText="false" indent="0" shrinkToFit="false"/>
      <protection locked="true" hidden="false"/>
    </xf>
    <xf numFmtId="166" fontId="16" fillId="0" borderId="6" xfId="0" applyFont="true" applyBorder="true" applyAlignment="true" applyProtection="true">
      <alignment horizontal="general" vertical="bottom" textRotation="0" wrapText="false" indent="0" shrinkToFit="false"/>
      <protection locked="true" hidden="false"/>
    </xf>
    <xf numFmtId="167" fontId="17" fillId="0" borderId="6" xfId="0" applyFont="true" applyBorder="true" applyAlignment="true" applyProtection="true">
      <alignment horizontal="right" vertical="bottom" textRotation="0" wrapText="false" indent="0" shrinkToFit="false"/>
      <protection locked="true" hidden="false"/>
    </xf>
    <xf numFmtId="164" fontId="17" fillId="0" borderId="0" xfId="0" applyFont="true" applyBorder="false" applyAlignment="true" applyProtection="true">
      <alignment horizontal="right"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6" fontId="8" fillId="0" borderId="0" xfId="0" applyFont="true" applyBorder="false" applyAlignment="true" applyProtection="true">
      <alignment horizontal="left"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8" fillId="0" borderId="4" xfId="0" applyFont="true" applyBorder="true" applyAlignment="true" applyProtection="true">
      <alignment horizontal="general" vertical="bottom" textRotation="0" wrapText="false" indent="0" shrinkToFit="false"/>
      <protection locked="true" hidden="false"/>
    </xf>
    <xf numFmtId="164" fontId="18" fillId="3" borderId="0" xfId="0" applyFont="true" applyBorder="false" applyAlignment="true" applyProtection="true">
      <alignment horizontal="left" vertical="bottom" textRotation="0" wrapText="false" indent="0" shrinkToFit="false"/>
      <protection locked="true" hidden="false"/>
    </xf>
    <xf numFmtId="170" fontId="19" fillId="0" borderId="0" xfId="0" applyFont="true" applyBorder="false" applyAlignment="true" applyProtection="true">
      <alignment horizontal="center"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center" vertical="bottom" textRotation="0" wrapText="false" indent="0" shrinkToFit="false"/>
      <protection locked="true" hidden="false"/>
    </xf>
    <xf numFmtId="167" fontId="19" fillId="9" borderId="0" xfId="0" applyFont="true" applyBorder="false" applyAlignment="true" applyProtection="true">
      <alignment horizontal="general" vertical="bottom" textRotation="0" wrapText="false" indent="0" shrinkToFit="false"/>
      <protection locked="true" hidden="false"/>
    </xf>
    <xf numFmtId="164" fontId="19" fillId="8" borderId="0" xfId="0" applyFont="true" applyBorder="false" applyAlignment="true" applyProtection="true">
      <alignment horizontal="general" vertical="bottom" textRotation="0" wrapText="false" indent="0" shrinkToFit="false"/>
      <protection locked="true" hidden="false"/>
    </xf>
    <xf numFmtId="171" fontId="19" fillId="8" borderId="0" xfId="0" applyFont="true" applyBorder="false" applyAlignment="true" applyProtection="true">
      <alignment horizontal="general" vertical="bottom" textRotation="0" wrapText="false" indent="0" shrinkToFit="false"/>
      <protection locked="true" hidden="false"/>
    </xf>
    <xf numFmtId="166" fontId="19" fillId="8" borderId="0" xfId="0" applyFont="true" applyBorder="false" applyAlignment="true" applyProtection="true">
      <alignment horizontal="center" vertical="bottom" textRotation="0" wrapText="false" indent="0" shrinkToFit="false"/>
      <protection locked="true" hidden="false"/>
    </xf>
    <xf numFmtId="167" fontId="19" fillId="0" borderId="0" xfId="0" applyFont="true" applyBorder="false" applyAlignment="true" applyProtection="true">
      <alignment horizontal="general" vertical="bottom" textRotation="0" wrapText="false" indent="0" shrinkToFit="false"/>
      <protection locked="true" hidden="false"/>
    </xf>
    <xf numFmtId="167" fontId="21" fillId="9" borderId="0" xfId="0" applyFont="true" applyBorder="false" applyAlignment="true" applyProtection="true">
      <alignment horizontal="general" vertical="bottom" textRotation="0" wrapText="false" indent="0" shrinkToFit="false"/>
      <protection locked="true" hidden="false"/>
    </xf>
    <xf numFmtId="167" fontId="22" fillId="9" borderId="0" xfId="0" applyFont="true" applyBorder="false" applyAlignment="true" applyProtection="true">
      <alignment horizontal="general" vertical="bottom" textRotation="0" wrapText="false" indent="0" shrinkToFit="false"/>
      <protection locked="true" hidden="false"/>
    </xf>
    <xf numFmtId="167" fontId="19" fillId="7" borderId="0" xfId="0" applyFont="true" applyBorder="false" applyAlignment="true" applyProtection="true">
      <alignment horizontal="general" vertical="bottom" textRotation="0" wrapText="false" indent="0" shrinkToFit="false"/>
      <protection locked="true" hidden="false"/>
    </xf>
    <xf numFmtId="167" fontId="19" fillId="4"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left" vertical="bottom" textRotation="0" wrapText="false" indent="0" shrinkToFit="false"/>
      <protection locked="true" hidden="false"/>
    </xf>
    <xf numFmtId="167" fontId="21" fillId="0" borderId="0" xfId="0" applyFont="true" applyBorder="false" applyAlignment="true" applyProtection="true">
      <alignment horizontal="general" vertical="bottom" textRotation="0" wrapText="false" indent="0" shrinkToFit="false"/>
      <protection locked="true" hidden="false"/>
    </xf>
    <xf numFmtId="167" fontId="10" fillId="0" borderId="7" xfId="0" applyFont="true" applyBorder="true" applyAlignment="true" applyProtection="true">
      <alignment horizontal="general" vertical="bottom" textRotation="0" wrapText="false" indent="0" shrinkToFit="false"/>
      <protection locked="true" hidden="false"/>
    </xf>
    <xf numFmtId="166" fontId="10" fillId="0" borderId="7" xfId="0" applyFont="true" applyBorder="tru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1" fillId="4" borderId="0" xfId="0" applyFont="true" applyBorder="false" applyAlignment="true" applyProtection="true">
      <alignment horizontal="general" vertical="bottom" textRotation="0" wrapText="false" indent="0" shrinkToFit="false"/>
      <protection locked="true" hidden="false"/>
    </xf>
    <xf numFmtId="164" fontId="13" fillId="1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11" borderId="0" xfId="0" applyFont="true" applyBorder="false" applyAlignment="true" applyProtection="true">
      <alignment horizontal="center" vertical="bottom" textRotation="0" wrapText="false" indent="0" shrinkToFit="false"/>
      <protection locked="true" hidden="false"/>
    </xf>
    <xf numFmtId="168" fontId="25" fillId="11" borderId="0" xfId="0" applyFont="true" applyBorder="false" applyAlignment="true" applyProtection="true">
      <alignment horizontal="center" vertical="bottom" textRotation="0" wrapText="false" indent="0" shrinkToFit="false"/>
      <protection locked="true" hidden="false"/>
    </xf>
    <xf numFmtId="168" fontId="25" fillId="11" borderId="8" xfId="0" applyFont="true" applyBorder="true" applyAlignment="true" applyProtection="true">
      <alignment horizontal="center" vertical="bottom" textRotation="0" wrapText="false" indent="0" shrinkToFit="false"/>
      <protection locked="true" hidden="false"/>
    </xf>
    <xf numFmtId="164" fontId="10" fillId="12" borderId="0" xfId="0" applyFont="true" applyBorder="false" applyAlignment="true" applyProtection="true">
      <alignment horizontal="general" vertical="bottom" textRotation="0" wrapText="false" indent="0" shrinkToFit="false"/>
      <protection locked="true" hidden="false"/>
    </xf>
    <xf numFmtId="164" fontId="26" fillId="12" borderId="0" xfId="0" applyFont="true" applyBorder="false" applyAlignment="true" applyProtection="true">
      <alignment horizontal="general" vertical="bottom" textRotation="0" wrapText="false" indent="0" shrinkToFit="false"/>
      <protection locked="true" hidden="false"/>
    </xf>
    <xf numFmtId="164" fontId="26" fillId="12" borderId="8" xfId="0"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2" fontId="0" fillId="0" borderId="8" xfId="0" applyFont="false" applyBorder="true" applyAlignment="true" applyProtection="true">
      <alignment horizontal="general" vertical="bottom" textRotation="0" wrapText="false" indent="0" shrinkToFit="false"/>
      <protection locked="true" hidden="false"/>
    </xf>
    <xf numFmtId="172" fontId="0" fillId="13" borderId="0" xfId="0" applyFont="false" applyBorder="fals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73" fontId="0" fillId="0" borderId="8" xfId="0" applyFont="false" applyBorder="true" applyAlignment="true" applyProtection="true">
      <alignment horizontal="general" vertical="bottom" textRotation="0" wrapText="false" indent="0" shrinkToFit="false"/>
      <protection locked="true" hidden="false"/>
    </xf>
    <xf numFmtId="173" fontId="0" fillId="13" borderId="0" xfId="0" applyFont="false" applyBorder="false" applyAlignment="true" applyProtection="true">
      <alignment horizontal="general"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72" fontId="26" fillId="0" borderId="3" xfId="0" applyFont="true" applyBorder="true" applyAlignment="true" applyProtection="true">
      <alignment horizontal="general" vertical="bottom" textRotation="0" wrapText="false" indent="0" shrinkToFit="false"/>
      <protection locked="true" hidden="false"/>
    </xf>
    <xf numFmtId="172" fontId="26" fillId="0" borderId="9" xfId="0" applyFont="true" applyBorder="true" applyAlignment="true" applyProtection="true">
      <alignment horizontal="general" vertical="bottom" textRotation="0" wrapText="false" indent="0" shrinkToFit="false"/>
      <protection locked="true" hidden="false"/>
    </xf>
    <xf numFmtId="172" fontId="26" fillId="13" borderId="3" xfId="0" applyFont="true" applyBorder="tru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73" fontId="26" fillId="0" borderId="4" xfId="0" applyFont="true" applyBorder="true" applyAlignment="true" applyProtection="true">
      <alignment horizontal="general" vertical="bottom" textRotation="0" wrapText="false" indent="0" shrinkToFit="false"/>
      <protection locked="true" hidden="false"/>
    </xf>
    <xf numFmtId="173" fontId="26" fillId="0" borderId="10" xfId="0" applyFont="true" applyBorder="true" applyAlignment="true" applyProtection="true">
      <alignment horizontal="general" vertical="bottom" textRotation="0" wrapText="false" indent="0" shrinkToFit="false"/>
      <protection locked="true" hidden="false"/>
    </xf>
    <xf numFmtId="173" fontId="26" fillId="13" borderId="4" xfId="0"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10" fillId="10" borderId="0" xfId="0" applyFont="true" applyBorder="false" applyAlignment="true" applyProtection="true">
      <alignment horizontal="general" vertical="bottom" textRotation="0" wrapText="false" indent="0" shrinkToFit="false"/>
      <protection locked="true" hidden="false"/>
    </xf>
    <xf numFmtId="164" fontId="26" fillId="10" borderId="0" xfId="0" applyFont="true" applyBorder="false" applyAlignment="true" applyProtection="true">
      <alignment horizontal="general" vertical="bottom" textRotation="0" wrapText="false" indent="0" shrinkToFit="false"/>
      <protection locked="true" hidden="false"/>
    </xf>
    <xf numFmtId="164" fontId="26" fillId="10" borderId="8" xfId="0" applyFont="true" applyBorder="true" applyAlignment="true" applyProtection="true">
      <alignment horizontal="general" vertical="bottom" textRotation="0" wrapText="false" indent="0" shrinkToFit="false"/>
      <protection locked="true" hidden="false"/>
    </xf>
    <xf numFmtId="164" fontId="10" fillId="14" borderId="0" xfId="0" applyFont="true" applyBorder="false" applyAlignment="true" applyProtection="true">
      <alignment horizontal="general" vertical="bottom" textRotation="0" wrapText="false" indent="0" shrinkToFit="false"/>
      <protection locked="true" hidden="false"/>
    </xf>
    <xf numFmtId="164" fontId="26" fillId="14" borderId="0" xfId="0" applyFont="true" applyBorder="false" applyAlignment="true" applyProtection="true">
      <alignment horizontal="general" vertical="bottom" textRotation="0" wrapText="false" indent="0" shrinkToFit="false"/>
      <protection locked="true" hidden="false"/>
    </xf>
    <xf numFmtId="164" fontId="26" fillId="14" borderId="8"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4" fontId="27" fillId="0" borderId="0" xfId="0" applyFont="true" applyBorder="false" applyAlignment="true" applyProtection="true">
      <alignment horizontal="general" vertical="bottom" textRotation="0" wrapText="false" indent="0" shrinkToFit="false"/>
      <protection locked="true" hidden="false"/>
    </xf>
    <xf numFmtId="174" fontId="27" fillId="0" borderId="8" xfId="0" applyFont="true" applyBorder="true" applyAlignment="true" applyProtection="true">
      <alignment horizontal="general" vertical="bottom" textRotation="0" wrapText="false" indent="0" shrinkToFit="false"/>
      <protection locked="true" hidden="false"/>
    </xf>
    <xf numFmtId="174" fontId="27" fillId="13" borderId="0" xfId="0" applyFont="true" applyBorder="fals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73" fontId="0" fillId="0" borderId="3" xfId="0" applyFont="false" applyBorder="true" applyAlignment="true" applyProtection="true">
      <alignment horizontal="general" vertical="bottom" textRotation="0" wrapText="false" indent="0" shrinkToFit="false"/>
      <protection locked="true" hidden="false"/>
    </xf>
    <xf numFmtId="173" fontId="0" fillId="0" borderId="9" xfId="0" applyFont="false" applyBorder="true" applyAlignment="true" applyProtection="true">
      <alignment horizontal="general" vertical="bottom" textRotation="0" wrapText="false" indent="0" shrinkToFit="false"/>
      <protection locked="true" hidden="false"/>
    </xf>
    <xf numFmtId="173" fontId="0" fillId="13" borderId="3" xfId="0" applyFont="false" applyBorder="true" applyAlignment="true" applyProtection="true">
      <alignment horizontal="general" vertical="bottom" textRotation="0" wrapText="false" indent="0" shrinkToFit="false"/>
      <protection locked="true" hidden="false"/>
    </xf>
    <xf numFmtId="164" fontId="28" fillId="15" borderId="0" xfId="0" applyFont="true" applyBorder="false" applyAlignment="true" applyProtection="true">
      <alignment horizontal="general" vertical="bottom" textRotation="0" wrapText="false" indent="0" shrinkToFit="false"/>
      <protection locked="true" hidden="false"/>
    </xf>
    <xf numFmtId="164" fontId="26" fillId="15" borderId="0" xfId="0" applyFont="true" applyBorder="false" applyAlignment="true" applyProtection="true">
      <alignment horizontal="general" vertical="bottom" textRotation="0" wrapText="false" indent="0" shrinkToFit="false"/>
      <protection locked="true" hidden="false"/>
    </xf>
    <xf numFmtId="164" fontId="26" fillId="15" borderId="8" xfId="0" applyFont="true" applyBorder="true" applyAlignment="true" applyProtection="true">
      <alignment horizontal="general" vertical="bottom" textRotation="0" wrapText="false" indent="0" shrinkToFit="false"/>
      <protection locked="true" hidden="false"/>
    </xf>
    <xf numFmtId="172" fontId="27" fillId="0" borderId="0" xfId="0" applyFont="true" applyBorder="false" applyAlignment="true" applyProtection="true">
      <alignment horizontal="general" vertical="bottom" textRotation="0" wrapText="false" indent="0" shrinkToFit="false"/>
      <protection locked="true" hidden="false"/>
    </xf>
    <xf numFmtId="172" fontId="27" fillId="0" borderId="8" xfId="0" applyFont="true" applyBorder="true" applyAlignment="true" applyProtection="true">
      <alignment horizontal="general" vertical="bottom" textRotation="0" wrapText="false" indent="0" shrinkToFit="false"/>
      <protection locked="true" hidden="false"/>
    </xf>
    <xf numFmtId="172" fontId="27" fillId="13" borderId="0" xfId="0" applyFont="true" applyBorder="false" applyAlignment="true" applyProtection="true">
      <alignment horizontal="general" vertical="bottom" textRotation="0" wrapText="false" indent="0" shrinkToFit="false"/>
      <protection locked="true" hidden="false"/>
    </xf>
    <xf numFmtId="173" fontId="27" fillId="0" borderId="0" xfId="0" applyFont="true" applyBorder="false" applyAlignment="true" applyProtection="true">
      <alignment horizontal="general" vertical="bottom" textRotation="0" wrapText="false" indent="0" shrinkToFit="false"/>
      <protection locked="true" hidden="false"/>
    </xf>
    <xf numFmtId="173" fontId="27" fillId="0" borderId="8" xfId="0" applyFont="true" applyBorder="true" applyAlignment="true" applyProtection="true">
      <alignment horizontal="general" vertical="bottom" textRotation="0" wrapText="false" indent="0" shrinkToFit="false"/>
      <protection locked="true" hidden="false"/>
    </xf>
    <xf numFmtId="173" fontId="27" fillId="13" borderId="0" xfId="0" applyFont="true" applyBorder="false" applyAlignment="true" applyProtection="true">
      <alignment horizontal="general" vertical="bottom" textRotation="0" wrapText="false" indent="0" shrinkToFit="false"/>
      <protection locked="true" hidden="false"/>
    </xf>
    <xf numFmtId="164" fontId="10" fillId="16" borderId="0" xfId="0" applyFont="true" applyBorder="false" applyAlignment="true" applyProtection="true">
      <alignment horizontal="general" vertical="bottom" textRotation="0" wrapText="false" indent="0" shrinkToFit="false"/>
      <protection locked="true" hidden="false"/>
    </xf>
    <xf numFmtId="164" fontId="26" fillId="16" borderId="0" xfId="0" applyFont="true" applyBorder="false" applyAlignment="true" applyProtection="true">
      <alignment horizontal="general" vertical="bottom" textRotation="0" wrapText="false" indent="0" shrinkToFit="false"/>
      <protection locked="true" hidden="false"/>
    </xf>
    <xf numFmtId="164" fontId="26" fillId="16" borderId="8"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72" fontId="26" fillId="0" borderId="0" xfId="0" applyFont="true" applyBorder="false" applyAlignment="true" applyProtection="true">
      <alignment horizontal="general" vertical="bottom" textRotation="0" wrapText="false" indent="0" shrinkToFit="false"/>
      <protection locked="true" hidden="false"/>
    </xf>
    <xf numFmtId="172" fontId="26" fillId="0" borderId="8" xfId="0" applyFont="true" applyBorder="true" applyAlignment="true" applyProtection="true">
      <alignment horizontal="general" vertical="bottom" textRotation="0" wrapText="false" indent="0" shrinkToFit="false"/>
      <protection locked="true" hidden="false"/>
    </xf>
    <xf numFmtId="172" fontId="26" fillId="13" borderId="0" xfId="0" applyFont="true" applyBorder="false" applyAlignment="true" applyProtection="true">
      <alignment horizontal="general" vertical="bottom" textRotation="0" wrapText="false" indent="0" shrinkToFit="false"/>
      <protection locked="true" hidden="false"/>
    </xf>
    <xf numFmtId="172" fontId="26" fillId="0" borderId="4" xfId="0" applyFont="true" applyBorder="true" applyAlignment="true" applyProtection="true">
      <alignment horizontal="general" vertical="bottom" textRotation="0" wrapText="false" indent="0" shrinkToFit="false"/>
      <protection locked="true" hidden="false"/>
    </xf>
    <xf numFmtId="172" fontId="26" fillId="0" borderId="10" xfId="0" applyFont="true" applyBorder="true" applyAlignment="true" applyProtection="true">
      <alignment horizontal="general" vertical="bottom" textRotation="0" wrapText="false" indent="0" shrinkToFit="false"/>
      <protection locked="true" hidden="false"/>
    </xf>
    <xf numFmtId="172" fontId="26" fillId="13" borderId="4" xfId="0" applyFont="true" applyBorder="true" applyAlignment="true" applyProtection="true">
      <alignment horizontal="general" vertical="bottom" textRotation="0" wrapText="false" indent="0" shrinkToFit="false"/>
      <protection locked="true" hidden="false"/>
    </xf>
    <xf numFmtId="175" fontId="27" fillId="0" borderId="0" xfId="0" applyFont="true" applyBorder="false" applyAlignment="true" applyProtection="true">
      <alignment horizontal="general" vertical="bottom" textRotation="0" wrapText="false" indent="0" shrinkToFit="false"/>
      <protection locked="true" hidden="false"/>
    </xf>
    <xf numFmtId="175" fontId="27" fillId="0" borderId="8" xfId="0" applyFont="true" applyBorder="true" applyAlignment="true" applyProtection="true">
      <alignment horizontal="general" vertical="bottom" textRotation="0" wrapText="false" indent="0" shrinkToFit="false"/>
      <protection locked="true" hidden="false"/>
    </xf>
    <xf numFmtId="175" fontId="27" fillId="13"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9" fontId="30" fillId="17" borderId="0" xfId="0" applyFont="true" applyBorder="false" applyAlignment="true" applyProtection="true">
      <alignment horizontal="general" vertical="bottom" textRotation="0" wrapText="false" indent="0" shrinkToFit="false"/>
      <protection locked="true" hidden="false"/>
    </xf>
    <xf numFmtId="177" fontId="30" fillId="17" borderId="0" xfId="0" applyFont="true" applyBorder="false" applyAlignment="true" applyProtection="true">
      <alignment horizontal="general" vertical="bottom" textRotation="0" wrapText="false" indent="0" shrinkToFit="false"/>
      <protection locked="true" hidden="false"/>
    </xf>
    <xf numFmtId="166" fontId="30" fillId="17" borderId="0" xfId="0" applyFont="true" applyBorder="false" applyAlignment="true" applyProtection="true">
      <alignment horizontal="general" vertical="bottom" textRotation="0" wrapText="false" indent="0" shrinkToFit="false"/>
      <protection locked="true" hidden="false"/>
    </xf>
    <xf numFmtId="178" fontId="30" fillId="17" borderId="0" xfId="0" applyFont="true" applyBorder="false" applyAlignment="true" applyProtection="true">
      <alignment horizontal="general" vertical="bottom" textRotation="0" wrapText="false" indent="0" shrinkToFit="false"/>
      <protection locked="true" hidden="false"/>
    </xf>
    <xf numFmtId="168" fontId="5" fillId="2"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25" fillId="11" borderId="0" xfId="0" applyFont="true" applyBorder="false" applyAlignment="true" applyProtection="true">
      <alignment horizontal="general" vertical="center" textRotation="0" wrapText="false" indent="0" shrinkToFit="false"/>
      <protection locked="true" hidden="false"/>
    </xf>
    <xf numFmtId="164" fontId="25" fillId="11" borderId="0" xfId="0" applyFont="true" applyBorder="false" applyAlignment="true" applyProtection="true">
      <alignment horizontal="right" vertical="center" textRotation="0" wrapText="false" indent="0" shrinkToFit="false"/>
      <protection locked="true" hidden="false"/>
    </xf>
    <xf numFmtId="164" fontId="25" fillId="11" borderId="0" xfId="0" applyFont="true" applyBorder="false" applyAlignment="true" applyProtection="true">
      <alignment horizontal="general" vertical="bottom" textRotation="0" wrapText="false" indent="0" shrinkToFit="false"/>
      <protection locked="true" hidden="false"/>
    </xf>
    <xf numFmtId="180" fontId="32" fillId="9" borderId="0" xfId="0" applyFont="true" applyBorder="false" applyAlignment="true" applyProtection="true">
      <alignment horizontal="general" vertical="bottom" textRotation="0" wrapText="false" indent="0" shrinkToFit="false"/>
      <protection locked="true" hidden="false"/>
    </xf>
    <xf numFmtId="181" fontId="32" fillId="9"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6" fontId="32" fillId="9"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77" fontId="33" fillId="0" borderId="0" xfId="0" applyFont="true" applyBorder="false" applyAlignment="true" applyProtection="true">
      <alignment horizontal="general" vertical="bottom" textRotation="0" wrapText="false" indent="0" shrinkToFit="false"/>
      <protection locked="true" hidden="false"/>
    </xf>
    <xf numFmtId="177" fontId="32" fillId="9"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79" fontId="32" fillId="9" borderId="0" xfId="0" applyFont="true" applyBorder="false" applyAlignment="true" applyProtection="true">
      <alignment horizontal="general" vertical="bottom" textRotation="0" wrapText="false" indent="0" shrinkToFit="false"/>
      <protection locked="true" hidden="false"/>
    </xf>
    <xf numFmtId="170" fontId="32" fillId="9" borderId="0" xfId="0" applyFont="true" applyBorder="false" applyAlignment="true" applyProtection="true">
      <alignment horizontal="general" vertical="bottom" textRotation="0" wrapText="false" indent="0" shrinkToFit="false"/>
      <protection locked="true" hidden="false"/>
    </xf>
    <xf numFmtId="177" fontId="32" fillId="0" borderId="0" xfId="0" applyFont="true" applyBorder="false" applyAlignment="true" applyProtection="true">
      <alignment horizontal="general" vertical="bottom" textRotation="0" wrapText="false" indent="0" shrinkToFit="false"/>
      <protection locked="true" hidden="false"/>
    </xf>
    <xf numFmtId="177" fontId="32" fillId="9" borderId="0" xfId="0" applyFont="true" applyBorder="false" applyAlignment="true" applyProtection="true">
      <alignment horizontal="right" vertical="bottom" textRotation="0" wrapText="false" indent="0" shrinkToFit="false"/>
      <protection locked="true" hidden="false"/>
    </xf>
    <xf numFmtId="177" fontId="33" fillId="9" borderId="0" xfId="0" applyFont="true" applyBorder="false" applyAlignment="true" applyProtection="true">
      <alignment horizontal="general" vertical="bottom" textRotation="0" wrapText="false" indent="0" shrinkToFit="false"/>
      <protection locked="true" hidden="false"/>
    </xf>
    <xf numFmtId="164" fontId="25" fillId="11" borderId="0" xfId="0" applyFont="true" applyBorder="false" applyAlignment="true" applyProtection="true">
      <alignment horizontal="left" vertical="bottom" textRotation="0" wrapText="false" indent="0" shrinkToFit="false"/>
      <protection locked="true" hidden="false"/>
    </xf>
    <xf numFmtId="172" fontId="0" fillId="0" borderId="0" xfId="0" applyFont="false" applyBorder="false" applyAlignment="true" applyProtection="true">
      <alignment horizontal="right" vertical="bottom" textRotation="0" wrapText="false" indent="0" shrinkToFit="false"/>
      <protection locked="true" hidden="false"/>
    </xf>
    <xf numFmtId="180" fontId="26" fillId="13" borderId="0" xfId="0" applyFont="true" applyBorder="false" applyAlignment="true" applyProtection="true">
      <alignment horizontal="right" vertical="bottom" textRotation="0" wrapText="false" indent="0" shrinkToFit="false"/>
      <protection locked="true" hidden="false"/>
    </xf>
    <xf numFmtId="171" fontId="0" fillId="0" borderId="0" xfId="0" applyFont="false" applyBorder="false" applyAlignment="true" applyProtection="true">
      <alignment horizontal="right" vertical="bottom" textRotation="0" wrapText="false" indent="0" shrinkToFit="false"/>
      <protection locked="true" hidden="false"/>
    </xf>
    <xf numFmtId="171" fontId="26" fillId="13" borderId="0" xfId="0" applyFont="true" applyBorder="false" applyAlignment="true" applyProtection="true">
      <alignment horizontal="right" vertical="bottom" textRotation="0" wrapText="false" indent="0" shrinkToFit="false"/>
      <protection locked="true" hidden="false"/>
    </xf>
    <xf numFmtId="164" fontId="26" fillId="0" borderId="7" xfId="0" applyFont="true" applyBorder="true" applyAlignment="true" applyProtection="true">
      <alignment horizontal="general" vertical="bottom" textRotation="0" wrapText="false" indent="0" shrinkToFit="false"/>
      <protection locked="true" hidden="false"/>
    </xf>
    <xf numFmtId="171" fontId="26" fillId="0" borderId="7" xfId="0" applyFont="true" applyBorder="true" applyAlignment="true" applyProtection="true">
      <alignment horizontal="right" vertical="bottom" textRotation="0" wrapText="false" indent="0" shrinkToFit="false"/>
      <protection locked="true" hidden="false"/>
    </xf>
    <xf numFmtId="171" fontId="26" fillId="13" borderId="7" xfId="0" applyFont="true" applyBorder="true" applyAlignment="true" applyProtection="true">
      <alignment horizontal="right"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72" fontId="35" fillId="0" borderId="0" xfId="0" applyFont="true" applyBorder="false" applyAlignment="true" applyProtection="true">
      <alignment horizontal="right" vertical="bottom" textRotation="0" wrapText="false" indent="0" shrinkToFit="false"/>
      <protection locked="true" hidden="false"/>
    </xf>
    <xf numFmtId="174" fontId="26" fillId="13" borderId="0" xfId="0" applyFont="true" applyBorder="false" applyAlignment="true" applyProtection="true">
      <alignment horizontal="right" vertical="bottom" textRotation="0" wrapText="false" indent="0" shrinkToFit="false"/>
      <protection locked="true" hidden="false"/>
    </xf>
    <xf numFmtId="172" fontId="33" fillId="0" borderId="0" xfId="0" applyFont="true" applyBorder="false" applyAlignment="true" applyProtection="true">
      <alignment horizontal="right" vertical="bottom" textRotation="0" wrapText="false" indent="0" shrinkToFit="false"/>
      <protection locked="true" hidden="false"/>
    </xf>
    <xf numFmtId="182" fontId="26" fillId="13" borderId="0" xfId="0" applyFont="true" applyBorder="false" applyAlignment="true" applyProtection="true">
      <alignment horizontal="right" vertical="bottom" textRotation="0" wrapText="false" indent="0" shrinkToFit="false"/>
      <protection locked="true" hidden="false"/>
    </xf>
    <xf numFmtId="164" fontId="26" fillId="18" borderId="7" xfId="0" applyFont="true" applyBorder="true" applyAlignment="true" applyProtection="true">
      <alignment horizontal="general" vertical="bottom" textRotation="0" wrapText="false" indent="0" shrinkToFit="false"/>
      <protection locked="true" hidden="false"/>
    </xf>
    <xf numFmtId="171" fontId="26" fillId="18" borderId="7" xfId="0" applyFont="true" applyBorder="true" applyAlignment="true" applyProtection="true">
      <alignment horizontal="right"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11" borderId="0" xfId="0" applyFont="true" applyBorder="false" applyAlignment="true" applyProtection="true">
      <alignment horizontal="general" vertical="center" textRotation="0" wrapText="false" indent="0" shrinkToFit="false"/>
      <protection locked="true" hidden="false"/>
    </xf>
    <xf numFmtId="164" fontId="39" fillId="11" borderId="0" xfId="0" applyFont="true" applyBorder="false" applyAlignment="true" applyProtection="true">
      <alignment horizontal="right" vertical="center" textRotation="0" wrapText="false" indent="0" shrinkToFit="false"/>
      <protection locked="true" hidden="false"/>
    </xf>
    <xf numFmtId="164" fontId="39" fillId="11"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center" vertical="bottom" textRotation="0" wrapText="false" indent="0" shrinkToFit="false"/>
      <protection locked="true" hidden="false"/>
    </xf>
    <xf numFmtId="181" fontId="37" fillId="0" borderId="0" xfId="0" applyFont="true" applyBorder="false" applyAlignment="true" applyProtection="true">
      <alignment horizontal="general" vertical="bottom" textRotation="0" wrapText="false" indent="0" shrinkToFit="false"/>
      <protection locked="true" hidden="false"/>
    </xf>
    <xf numFmtId="181" fontId="41" fillId="9" borderId="0" xfId="0" applyFont="true" applyBorder="false" applyAlignment="true" applyProtection="true">
      <alignment horizontal="general" vertical="bottom" textRotation="0" wrapText="false" indent="0" shrinkToFit="false"/>
      <protection locked="true" hidden="false"/>
    </xf>
    <xf numFmtId="166" fontId="41" fillId="9" borderId="0" xfId="0" applyFont="true" applyBorder="false" applyAlignment="true" applyProtection="true">
      <alignment horizontal="general" vertical="bottom" textRotation="0" wrapText="false" indent="0" shrinkToFit="false"/>
      <protection locked="true" hidden="false"/>
    </xf>
    <xf numFmtId="166" fontId="41" fillId="9" borderId="0" xfId="0" applyFont="true" applyBorder="false" applyAlignment="true" applyProtection="true">
      <alignment horizontal="center" vertical="bottom" textRotation="0" wrapText="false" indent="0" shrinkToFit="false"/>
      <protection locked="true" hidden="false"/>
    </xf>
    <xf numFmtId="183" fontId="42" fillId="9" borderId="0" xfId="0" applyFont="true" applyBorder="false" applyAlignment="true" applyProtection="true">
      <alignment horizontal="center" vertical="bottom" textRotation="0" wrapText="false" indent="0" shrinkToFit="false"/>
      <protection locked="true" hidden="false"/>
    </xf>
    <xf numFmtId="184" fontId="37" fillId="0" borderId="0" xfId="0" applyFont="true" applyBorder="false" applyAlignment="true" applyProtection="true">
      <alignment horizontal="general" vertical="bottom" textRotation="0" wrapText="false" indent="0" shrinkToFit="false"/>
      <protection locked="true" hidden="false"/>
    </xf>
    <xf numFmtId="168" fontId="41" fillId="9" borderId="0" xfId="0" applyFont="true" applyBorder="false" applyAlignment="true" applyProtection="true">
      <alignment horizontal="general" vertical="bottom" textRotation="0" wrapText="false" indent="0" shrinkToFit="false"/>
      <protection locked="true" hidden="false"/>
    </xf>
    <xf numFmtId="166" fontId="37" fillId="0" borderId="0" xfId="0" applyFont="true" applyBorder="false" applyAlignment="true" applyProtection="true">
      <alignment horizontal="center" vertical="bottom" textRotation="0" wrapText="false" indent="0" shrinkToFit="false"/>
      <protection locked="true" hidden="false"/>
    </xf>
    <xf numFmtId="177" fontId="41" fillId="9"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center" vertical="bottom" textRotation="0" wrapText="false" indent="0" shrinkToFit="false"/>
      <protection locked="true" hidden="false"/>
    </xf>
    <xf numFmtId="166" fontId="40" fillId="0" borderId="0" xfId="0" applyFont="true" applyBorder="false" applyAlignment="true" applyProtection="true">
      <alignment horizontal="center" vertical="bottom" textRotation="0" wrapText="false" indent="0" shrinkToFit="false"/>
      <protection locked="true" hidden="false"/>
    </xf>
    <xf numFmtId="185" fontId="40" fillId="0" borderId="0" xfId="0" applyFont="true" applyBorder="false" applyAlignment="true" applyProtection="true">
      <alignment horizontal="center" vertical="bottom" textRotation="0" wrapText="false" indent="0" shrinkToFit="false"/>
      <protection locked="true" hidden="false"/>
    </xf>
    <xf numFmtId="184" fontId="40"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86" fontId="41" fillId="9" borderId="0" xfId="0" applyFont="true" applyBorder="false" applyAlignment="true" applyProtection="true">
      <alignment horizontal="general" vertical="bottom" textRotation="0" wrapText="false" indent="0" shrinkToFit="false"/>
      <protection locked="true" hidden="false"/>
    </xf>
    <xf numFmtId="164" fontId="44" fillId="18" borderId="11" xfId="0" applyFont="true" applyBorder="true" applyAlignment="true" applyProtection="true">
      <alignment horizontal="general" vertical="bottom" textRotation="0" wrapText="false" indent="0" shrinkToFit="false"/>
      <protection locked="true" hidden="false"/>
    </xf>
    <xf numFmtId="177" fontId="44" fillId="18" borderId="11" xfId="0" applyFont="true" applyBorder="true" applyAlignment="true" applyProtection="true">
      <alignment horizontal="center" vertical="bottom" textRotation="0" wrapText="false" indent="0" shrinkToFit="false"/>
      <protection locked="true" hidden="false"/>
    </xf>
    <xf numFmtId="164" fontId="37" fillId="0" borderId="11" xfId="0" applyFont="true" applyBorder="true" applyAlignment="true" applyProtection="true">
      <alignment horizontal="general" vertical="bottom" textRotation="0" wrapText="false" indent="0" shrinkToFit="false"/>
      <protection locked="true" hidden="false"/>
    </xf>
    <xf numFmtId="172" fontId="41" fillId="9" borderId="11" xfId="0" applyFont="true" applyBorder="true" applyAlignment="true" applyProtection="true">
      <alignment horizontal="center" vertical="bottom" textRotation="0" wrapText="false" indent="0" shrinkToFit="false"/>
      <protection locked="true" hidden="false"/>
    </xf>
    <xf numFmtId="164" fontId="40" fillId="0" borderId="11" xfId="0" applyFont="true" applyBorder="true" applyAlignment="true" applyProtection="true">
      <alignment horizontal="general" vertical="bottom" textRotation="0" wrapText="false" indent="0" shrinkToFit="false"/>
      <protection locked="true" hidden="false"/>
    </xf>
    <xf numFmtId="172" fontId="44" fillId="0" borderId="11" xfId="0" applyFont="true" applyBorder="true" applyAlignment="true" applyProtection="true">
      <alignment horizontal="center" vertical="bottom" textRotation="0" wrapText="false" indent="0" shrinkToFit="false"/>
      <protection locked="true" hidden="false"/>
    </xf>
    <xf numFmtId="177" fontId="45" fillId="18" borderId="11" xfId="0" applyFont="true" applyBorder="true" applyAlignment="true" applyProtection="true">
      <alignment horizontal="center" vertical="bottom" textRotation="0" wrapText="false" indent="0" shrinkToFit="false"/>
      <protection locked="true" hidden="false"/>
    </xf>
    <xf numFmtId="164" fontId="39" fillId="11" borderId="0" xfId="0" applyFont="true" applyBorder="false" applyAlignment="true" applyProtection="true">
      <alignment horizontal="left" vertical="bottom" textRotation="0" wrapText="false" indent="0" shrinkToFit="false"/>
      <protection locked="true" hidden="false"/>
    </xf>
    <xf numFmtId="168" fontId="39" fillId="11" borderId="0" xfId="0" applyFont="true" applyBorder="false" applyAlignment="true" applyProtection="true">
      <alignment horizontal="center" vertical="bottom" textRotation="0" wrapText="false" indent="0" shrinkToFit="false"/>
      <protection locked="true" hidden="false"/>
    </xf>
    <xf numFmtId="164" fontId="39" fillId="11" borderId="0" xfId="0" applyFont="true" applyBorder="false" applyAlignment="true" applyProtection="true">
      <alignment horizontal="center" vertical="bottom" textRotation="0" wrapText="false" indent="0" shrinkToFit="false"/>
      <protection locked="true" hidden="false"/>
    </xf>
    <xf numFmtId="172" fontId="46" fillId="0" borderId="0" xfId="0" applyFont="true" applyBorder="false" applyAlignment="true" applyProtection="true">
      <alignment horizontal="general" vertical="bottom" textRotation="0" wrapText="false" indent="0" shrinkToFit="false"/>
      <protection locked="true" hidden="false"/>
    </xf>
    <xf numFmtId="172" fontId="40" fillId="13" borderId="0" xfId="0" applyFont="true" applyBorder="false" applyAlignment="true" applyProtection="true">
      <alignment horizontal="general" vertical="bottom" textRotation="0" wrapText="false" indent="0" shrinkToFit="false"/>
      <protection locked="true" hidden="false"/>
    </xf>
    <xf numFmtId="187" fontId="46" fillId="0" borderId="0" xfId="0" applyFont="true" applyBorder="false" applyAlignment="true" applyProtection="true">
      <alignment horizontal="general" vertical="bottom" textRotation="0" wrapText="false" indent="0" shrinkToFit="false"/>
      <protection locked="true" hidden="false"/>
    </xf>
    <xf numFmtId="187" fontId="40" fillId="13" borderId="0" xfId="0" applyFont="true" applyBorder="false" applyAlignment="true" applyProtection="true">
      <alignment horizontal="general" vertical="bottom" textRotation="0" wrapText="false" indent="0" shrinkToFit="false"/>
      <protection locked="true" hidden="false"/>
    </xf>
    <xf numFmtId="177" fontId="37" fillId="0" borderId="0" xfId="0" applyFont="true" applyBorder="false" applyAlignment="true" applyProtection="true">
      <alignment horizontal="right" vertical="bottom" textRotation="0" wrapText="false" indent="0" shrinkToFit="false"/>
      <protection locked="true" hidden="false"/>
    </xf>
    <xf numFmtId="164" fontId="40" fillId="13" borderId="0" xfId="0" applyFont="true" applyBorder="false" applyAlignment="true" applyProtection="true">
      <alignment horizontal="right" vertical="bottom" textRotation="0" wrapText="false" indent="0" shrinkToFit="false"/>
      <protection locked="true" hidden="false"/>
    </xf>
    <xf numFmtId="172" fontId="37" fillId="0" borderId="0" xfId="0" applyFont="true" applyBorder="false" applyAlignment="true" applyProtection="true">
      <alignment horizontal="right" vertical="bottom" textRotation="0" wrapText="false" indent="0" shrinkToFit="false"/>
      <protection locked="true" hidden="false"/>
    </xf>
    <xf numFmtId="174" fontId="40" fillId="13" borderId="0" xfId="0" applyFont="true" applyBorder="false" applyAlignment="true" applyProtection="true">
      <alignment horizontal="right" vertical="bottom" textRotation="0" wrapText="false" indent="0" shrinkToFit="false"/>
      <protection locked="true" hidden="false"/>
    </xf>
    <xf numFmtId="171" fontId="37" fillId="0" borderId="0" xfId="0" applyFont="true" applyBorder="false" applyAlignment="true" applyProtection="true">
      <alignment horizontal="right" vertical="bottom" textRotation="0" wrapText="false" indent="0" shrinkToFit="false"/>
      <protection locked="true" hidden="false"/>
    </xf>
    <xf numFmtId="171" fontId="40" fillId="13" borderId="0" xfId="0" applyFont="true" applyBorder="false" applyAlignment="true" applyProtection="true">
      <alignment horizontal="right" vertical="bottom" textRotation="0" wrapText="false" indent="0" shrinkToFit="false"/>
      <protection locked="true" hidden="false"/>
    </xf>
    <xf numFmtId="166" fontId="41" fillId="9" borderId="0" xfId="0" applyFont="true" applyBorder="false" applyAlignment="true" applyProtection="true">
      <alignment horizontal="right" vertical="bottom" textRotation="0" wrapText="false" indent="0" shrinkToFit="false"/>
      <protection locked="true" hidden="false"/>
    </xf>
    <xf numFmtId="166" fontId="40" fillId="13" borderId="0" xfId="0" applyFont="true" applyBorder="false" applyAlignment="true" applyProtection="true">
      <alignment horizontal="right" vertical="bottom" textRotation="0" wrapText="false" indent="0" shrinkToFit="false"/>
      <protection locked="true" hidden="false"/>
    </xf>
    <xf numFmtId="164" fontId="40" fillId="0" borderId="7" xfId="0" applyFont="true" applyBorder="true" applyAlignment="true" applyProtection="true">
      <alignment horizontal="general" vertical="bottom" textRotation="0" wrapText="false" indent="0" shrinkToFit="false"/>
      <protection locked="true" hidden="false"/>
    </xf>
    <xf numFmtId="171" fontId="40" fillId="0" borderId="7" xfId="0" applyFont="true" applyBorder="true" applyAlignment="true" applyProtection="true">
      <alignment horizontal="right" vertical="bottom" textRotation="0" wrapText="false" indent="0" shrinkToFit="false"/>
      <protection locked="true" hidden="false"/>
    </xf>
    <xf numFmtId="171" fontId="40" fillId="13" borderId="7" xfId="0" applyFont="true" applyBorder="true" applyAlignment="true" applyProtection="true">
      <alignment horizontal="right" vertical="bottom" textRotation="0" wrapText="false" indent="0" shrinkToFit="false"/>
      <protection locked="true" hidden="false"/>
    </xf>
    <xf numFmtId="164" fontId="37" fillId="0" borderId="0" xfId="0" applyFont="true" applyBorder="false" applyAlignment="true" applyProtection="true">
      <alignment horizontal="right"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0" fillId="18" borderId="7" xfId="0" applyFont="true" applyBorder="true" applyAlignment="true" applyProtection="true">
      <alignment horizontal="general" vertical="bottom" textRotation="0" wrapText="false" indent="0" shrinkToFit="false"/>
      <protection locked="true" hidden="false"/>
    </xf>
    <xf numFmtId="171" fontId="40" fillId="18" borderId="7" xfId="0" applyFont="true" applyBorder="true" applyAlignment="true" applyProtection="true">
      <alignment horizontal="right" vertical="bottom" textRotation="0" wrapText="false" indent="0" shrinkToFit="false"/>
      <protection locked="true" hidden="false"/>
    </xf>
    <xf numFmtId="164" fontId="4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top" textRotation="0" wrapText="false" indent="0" shrinkToFit="false"/>
      <protection locked="true" hidden="false"/>
    </xf>
    <xf numFmtId="164" fontId="17" fillId="0" borderId="0" xfId="0" applyFont="true" applyBorder="true" applyAlignment="true" applyProtection="true">
      <alignment horizontal="general" vertical="top" textRotation="0" wrapText="true" indent="0" shrinkToFit="false"/>
      <protection locked="true" hidden="false"/>
    </xf>
    <xf numFmtId="164" fontId="49" fillId="19" borderId="0" xfId="0" applyFont="true" applyBorder="false" applyAlignment="true" applyProtection="true">
      <alignment horizontal="general" vertical="center" textRotation="0" wrapText="true" indent="0" shrinkToFit="false"/>
      <protection locked="true" hidden="false"/>
    </xf>
    <xf numFmtId="171" fontId="50" fillId="9" borderId="0" xfId="0" applyFont="true" applyBorder="false" applyAlignment="true" applyProtection="true">
      <alignment horizontal="right" vertical="center" textRotation="0" wrapText="false" indent="0" shrinkToFit="false"/>
      <protection locked="true" hidden="false"/>
    </xf>
    <xf numFmtId="170" fontId="50" fillId="9" borderId="0" xfId="0" applyFont="true" applyBorder="false" applyAlignment="true" applyProtection="true">
      <alignment horizontal="right" vertical="center" textRotation="0" wrapText="false" indent="0" shrinkToFit="false"/>
      <protection locked="true" hidden="false"/>
    </xf>
    <xf numFmtId="188" fontId="50" fillId="9" borderId="0" xfId="0" applyFont="true" applyBorder="false" applyAlignment="true" applyProtection="true">
      <alignment horizontal="right" vertical="center" textRotation="0" wrapText="false" indent="0" shrinkToFit="false"/>
      <protection locked="true" hidden="false"/>
    </xf>
    <xf numFmtId="182" fontId="50" fillId="9" borderId="0" xfId="0" applyFont="true" applyBorder="false" applyAlignment="true" applyProtection="true">
      <alignment horizontal="right" vertical="center" textRotation="0" wrapText="false" indent="0" shrinkToFit="false"/>
      <protection locked="true" hidden="false"/>
    </xf>
    <xf numFmtId="168" fontId="50" fillId="9" borderId="0" xfId="0" applyFont="true" applyBorder="false" applyAlignment="true" applyProtection="true">
      <alignment horizontal="right" vertical="center" textRotation="0" wrapText="false" indent="0" shrinkToFit="false"/>
      <protection locked="true" hidden="false"/>
    </xf>
    <xf numFmtId="189" fontId="8" fillId="0" borderId="0" xfId="0" applyFont="true" applyBorder="false" applyAlignment="true" applyProtection="true">
      <alignment horizontal="general" vertical="center" textRotation="0" wrapText="false" indent="0" shrinkToFit="false"/>
      <protection locked="true" hidden="false"/>
    </xf>
    <xf numFmtId="166" fontId="50" fillId="9" borderId="0" xfId="0" applyFont="true" applyBorder="false" applyAlignment="true" applyProtection="true">
      <alignment horizontal="right" vertical="center" textRotation="0" wrapText="false" indent="0" shrinkToFit="false"/>
      <protection locked="true" hidden="false"/>
    </xf>
    <xf numFmtId="171" fontId="10" fillId="20" borderId="0" xfId="0" applyFont="true" applyBorder="false" applyAlignment="true" applyProtection="true">
      <alignment horizontal="right"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82" fontId="13" fillId="0" borderId="0" xfId="0" applyFont="true" applyBorder="false" applyAlignment="true" applyProtection="true">
      <alignment horizontal="right" vertical="center" textRotation="0" wrapText="false" indent="0" shrinkToFit="false"/>
      <protection locked="true" hidden="false"/>
    </xf>
    <xf numFmtId="180" fontId="51" fillId="0" borderId="0" xfId="0" applyFont="true" applyBorder="false" applyAlignment="true" applyProtection="true">
      <alignment horizontal="right" vertical="center" textRotation="0" wrapText="false" indent="0" shrinkToFit="false"/>
      <protection locked="true" hidden="false"/>
    </xf>
    <xf numFmtId="170" fontId="51" fillId="0" borderId="0" xfId="0" applyFont="true" applyBorder="false" applyAlignment="true" applyProtection="true">
      <alignment horizontal="right" vertical="center" textRotation="0" wrapText="false" indent="0" shrinkToFit="false"/>
      <protection locked="true" hidden="false"/>
    </xf>
    <xf numFmtId="182" fontId="51" fillId="0" borderId="0" xfId="0" applyFont="true" applyBorder="false" applyAlignment="true" applyProtection="true">
      <alignment horizontal="right" vertical="center" textRotation="0" wrapText="false" indent="0" shrinkToFit="false"/>
      <protection locked="true" hidden="false"/>
    </xf>
    <xf numFmtId="171" fontId="51" fillId="0" borderId="0" xfId="0" applyFont="true" applyBorder="false" applyAlignment="true" applyProtection="true">
      <alignment horizontal="right" vertical="center" textRotation="0" wrapText="false" indent="0" shrinkToFit="false"/>
      <protection locked="true" hidden="false"/>
    </xf>
    <xf numFmtId="182" fontId="10" fillId="0" borderId="0" xfId="0" applyFont="true" applyBorder="false" applyAlignment="true" applyProtection="true">
      <alignment horizontal="right" vertical="center" textRotation="0" wrapText="false" indent="0" shrinkToFit="false"/>
      <protection locked="true" hidden="false"/>
    </xf>
    <xf numFmtId="168" fontId="49" fillId="19" borderId="0" xfId="0" applyFont="true" applyBorder="false" applyAlignment="true" applyProtection="true">
      <alignment horizontal="right" vertical="center" textRotation="0" wrapText="true" indent="0" shrinkToFit="false"/>
      <protection locked="true" hidden="false"/>
    </xf>
    <xf numFmtId="164" fontId="49" fillId="19" borderId="0" xfId="0" applyFont="true" applyBorder="false" applyAlignment="true" applyProtection="true">
      <alignment horizontal="right" vertical="center" textRotation="0" wrapText="true" indent="0" shrinkToFit="false"/>
      <protection locked="true" hidden="false"/>
    </xf>
    <xf numFmtId="174" fontId="51" fillId="0" borderId="0" xfId="0" applyFont="true" applyBorder="false" applyAlignment="true" applyProtection="true">
      <alignment horizontal="general" vertical="center" textRotation="0" wrapText="false" indent="0" shrinkToFit="false"/>
      <protection locked="true" hidden="false"/>
    </xf>
    <xf numFmtId="174" fontId="8"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74" fontId="10" fillId="0" borderId="0" xfId="0" applyFont="true" applyBorder="false" applyAlignment="true" applyProtection="true">
      <alignment horizontal="general" vertical="center" textRotation="0" wrapText="false" indent="0" shrinkToFit="false"/>
      <protection locked="true" hidden="false"/>
    </xf>
    <xf numFmtId="172" fontId="8" fillId="0" borderId="0" xfId="0" applyFont="true" applyBorder="false" applyAlignment="true" applyProtection="true">
      <alignment horizontal="general" vertical="center" textRotation="0" wrapText="false" indent="0" shrinkToFit="false"/>
      <protection locked="true" hidden="false"/>
    </xf>
    <xf numFmtId="175" fontId="8" fillId="0" borderId="0" xfId="0" applyFont="true" applyBorder="false" applyAlignment="true" applyProtection="true">
      <alignment horizontal="general" vertical="center" textRotation="0" wrapText="false" indent="0" shrinkToFit="false"/>
      <protection locked="true" hidden="false"/>
    </xf>
    <xf numFmtId="171"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10" fillId="0" borderId="12" xfId="0" applyFont="true" applyBorder="true" applyAlignment="true" applyProtection="true">
      <alignment horizontal="general" vertical="center" textRotation="0" wrapText="false" indent="0" shrinkToFit="false"/>
      <protection locked="true" hidden="false"/>
    </xf>
    <xf numFmtId="171" fontId="10" fillId="0" borderId="12" xfId="0" applyFont="true" applyBorder="true" applyAlignment="true" applyProtection="true">
      <alignment horizontal="general" vertical="center" textRotation="0" wrapText="false" indent="0" shrinkToFit="false"/>
      <protection locked="true" hidden="false"/>
    </xf>
    <xf numFmtId="171" fontId="49" fillId="19" borderId="0" xfId="0" applyFont="true" applyBorder="false" applyAlignment="true" applyProtection="true">
      <alignment horizontal="right" vertical="center" textRotation="0" wrapText="tru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52" fillId="0" borderId="0" xfId="0" applyFont="true" applyBorder="false" applyAlignment="true" applyProtection="true">
      <alignment horizontal="general" vertical="center" textRotation="0" wrapText="false" indent="0" shrinkToFit="false"/>
      <protection locked="true" hidden="false"/>
    </xf>
    <xf numFmtId="164" fontId="49" fillId="11" borderId="0" xfId="0" applyFont="true" applyBorder="false" applyAlignment="true" applyProtection="true">
      <alignment horizontal="general" vertical="center" textRotation="0" wrapText="false" indent="0" shrinkToFit="false"/>
      <protection locked="true" hidden="false"/>
    </xf>
    <xf numFmtId="175" fontId="50" fillId="9" borderId="0" xfId="0" applyFont="true" applyBorder="false" applyAlignment="true" applyProtection="true">
      <alignment horizontal="right" vertical="center" textRotation="0" wrapText="false" indent="0" shrinkToFit="false"/>
      <protection locked="true" hidden="false"/>
    </xf>
    <xf numFmtId="175" fontId="51" fillId="0" borderId="0" xfId="0" applyFont="true" applyBorder="false" applyAlignment="true" applyProtection="true">
      <alignment horizontal="right" vertical="center" textRotation="0" wrapText="false" indent="0" shrinkToFit="false"/>
      <protection locked="true" hidden="false"/>
    </xf>
    <xf numFmtId="181" fontId="50" fillId="9" borderId="0" xfId="0" applyFont="true" applyBorder="false" applyAlignment="true" applyProtection="true">
      <alignment horizontal="right" vertical="center" textRotation="0" wrapText="false" indent="0" shrinkToFit="false"/>
      <protection locked="true" hidden="false"/>
    </xf>
    <xf numFmtId="166" fontId="51" fillId="0" borderId="0" xfId="0" applyFont="true" applyBorder="false" applyAlignment="true" applyProtection="true">
      <alignment horizontal="right" vertical="center" textRotation="0" wrapText="false" indent="0" shrinkToFit="false"/>
      <protection locked="true" hidden="false"/>
    </xf>
    <xf numFmtId="168" fontId="51" fillId="0" borderId="0" xfId="0" applyFont="true" applyBorder="false" applyAlignment="true" applyProtection="true">
      <alignment horizontal="right" vertical="center" textRotation="0" wrapText="false" indent="0" shrinkToFit="false"/>
      <protection locked="true" hidden="false"/>
    </xf>
    <xf numFmtId="168" fontId="49" fillId="11" borderId="0" xfId="0" applyFont="true" applyBorder="false" applyAlignment="true" applyProtection="true">
      <alignment horizontal="right" vertical="center" textRotation="0" wrapText="false" indent="0" shrinkToFit="false"/>
      <protection locked="true" hidden="false"/>
    </xf>
    <xf numFmtId="171" fontId="22" fillId="0" borderId="0" xfId="0" applyFont="true" applyBorder="false" applyAlignment="true" applyProtection="true">
      <alignment horizontal="general" vertical="center" textRotation="0" wrapText="false" indent="0" shrinkToFit="false"/>
      <protection locked="true" hidden="false"/>
    </xf>
    <xf numFmtId="171" fontId="10" fillId="0" borderId="0" xfId="0" applyFont="true" applyBorder="false" applyAlignment="true" applyProtection="true">
      <alignment horizontal="general" vertical="center" textRotation="0" wrapText="false" indent="0" shrinkToFit="false"/>
      <protection locked="true" hidden="false"/>
    </xf>
    <xf numFmtId="164" fontId="8" fillId="0" borderId="13" xfId="0" applyFont="true" applyBorder="true" applyAlignment="true" applyProtection="true">
      <alignment horizontal="general" vertical="center" textRotation="0" wrapText="false" indent="0" shrinkToFit="false"/>
      <protection locked="true" hidden="false"/>
    </xf>
    <xf numFmtId="174" fontId="8" fillId="0" borderId="13" xfId="0" applyFont="true" applyBorder="true" applyAlignment="true" applyProtection="true">
      <alignment horizontal="general" vertical="center" textRotation="0" wrapText="false" indent="0" shrinkToFit="false"/>
      <protection locked="true" hidden="false"/>
    </xf>
    <xf numFmtId="164" fontId="10" fillId="0" borderId="13" xfId="0" applyFont="true" applyBorder="true" applyAlignment="true" applyProtection="true">
      <alignment horizontal="general" vertical="center" textRotation="0" wrapText="false" indent="0" shrinkToFit="false"/>
      <protection locked="true" hidden="false"/>
    </xf>
    <xf numFmtId="171" fontId="10" fillId="0" borderId="13" xfId="0" applyFont="true" applyBorder="true" applyAlignment="true" applyProtection="true">
      <alignment horizontal="general" vertical="center" textRotation="0" wrapText="false" indent="0" shrinkToFit="false"/>
      <protection locked="true" hidden="false"/>
    </xf>
    <xf numFmtId="171" fontId="22" fillId="20" borderId="0" xfId="0" applyFont="true" applyBorder="false" applyAlignment="true" applyProtection="true">
      <alignment horizontal="general" vertical="center" textRotation="0" wrapText="false" indent="0" shrinkToFit="false"/>
      <protection locked="true" hidden="false"/>
    </xf>
    <xf numFmtId="164" fontId="49" fillId="11" borderId="0" xfId="0" applyFont="true" applyBorder="false" applyAlignment="true" applyProtection="true">
      <alignment horizontal="general" vertical="center" textRotation="0" wrapText="true" indent="0" shrinkToFit="false"/>
      <protection locked="true" hidden="false"/>
    </xf>
    <xf numFmtId="164" fontId="49" fillId="11" borderId="0" xfId="0" applyFont="true" applyBorder="false" applyAlignment="true" applyProtection="true">
      <alignment horizontal="right" vertical="center" textRotation="0" wrapText="true" indent="0" shrinkToFit="false"/>
      <protection locked="true" hidden="false"/>
    </xf>
    <xf numFmtId="177" fontId="8" fillId="0" borderId="0" xfId="0" applyFont="true" applyBorder="false" applyAlignment="true" applyProtection="true">
      <alignment horizontal="right" vertical="center" textRotation="0" wrapText="false" indent="0" shrinkToFit="false"/>
      <protection locked="true" hidden="false"/>
    </xf>
    <xf numFmtId="164" fontId="8" fillId="0" borderId="0" xfId="0" applyFont="true" applyBorder="false" applyAlignment="true" applyProtection="true">
      <alignment horizontal="right" vertical="center"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53"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55" fillId="0" borderId="0" xfId="0" applyFont="true" applyBorder="true" applyAlignment="true" applyProtection="false">
      <alignment horizontal="left" vertical="bottom" textRotation="0" wrapText="false" indent="0" shrinkToFit="false"/>
      <protection locked="true" hidden="false"/>
    </xf>
    <xf numFmtId="164" fontId="56" fillId="0" borderId="0" xfId="0" applyFont="true" applyBorder="true" applyAlignment="true" applyProtection="false">
      <alignment horizontal="left" vertical="bottom" textRotation="0" wrapText="false" indent="0" shrinkToFit="false"/>
      <protection locked="true" hidden="false"/>
    </xf>
    <xf numFmtId="164" fontId="57" fillId="0" borderId="0" xfId="0" applyFont="true" applyBorder="true" applyAlignment="true" applyProtection="false">
      <alignment horizontal="left" vertical="bottom" textRotation="0" wrapText="false" indent="0" shrinkToFit="false"/>
      <protection locked="true" hidden="false"/>
    </xf>
    <xf numFmtId="164" fontId="58" fillId="18" borderId="0"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true" applyAlignment="false" applyProtection="false">
      <alignment horizontal="general" vertical="bottom" textRotation="0" wrapText="false" indent="0" shrinkToFit="false"/>
      <protection locked="true" hidden="false"/>
    </xf>
    <xf numFmtId="166" fontId="59" fillId="21" borderId="14"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true" applyAlignment="true" applyProtection="false">
      <alignment horizontal="left" vertical="bottom" textRotation="0" wrapText="false" indent="0" shrinkToFit="false"/>
      <protection locked="true" hidden="false"/>
    </xf>
    <xf numFmtId="166" fontId="59" fillId="21" borderId="15" xfId="0" applyFont="true" applyBorder="true" applyAlignment="true" applyProtection="false">
      <alignment horizontal="center" vertical="bottom" textRotation="0" wrapText="false" indent="0" shrinkToFit="false"/>
      <protection locked="true" hidden="false"/>
    </xf>
    <xf numFmtId="168" fontId="61" fillId="21" borderId="16" xfId="0" applyFont="true" applyBorder="true" applyAlignment="true" applyProtection="false">
      <alignment horizontal="center" vertical="bottom" textRotation="0" wrapText="false" indent="0" shrinkToFit="false"/>
      <protection locked="true" hidden="false"/>
    </xf>
    <xf numFmtId="164" fontId="61" fillId="0" borderId="0"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true" applyAlignment="true" applyProtection="false">
      <alignment horizontal="left" vertical="bottom" textRotation="0" wrapText="true" indent="0" shrinkToFit="false"/>
      <protection locked="true" hidden="false"/>
    </xf>
    <xf numFmtId="164" fontId="62" fillId="22" borderId="0" xfId="0" applyFont="true" applyBorder="true" applyAlignment="true" applyProtection="false">
      <alignment horizontal="general" vertical="bottom" textRotation="0" wrapText="true" indent="0" shrinkToFit="false"/>
      <protection locked="true" hidden="false"/>
    </xf>
    <xf numFmtId="164" fontId="62" fillId="22" borderId="0" xfId="0" applyFont="true" applyBorder="true" applyAlignment="true" applyProtection="false">
      <alignment horizontal="center" vertical="bottom" textRotation="0" wrapText="true" indent="0" shrinkToFit="false"/>
      <protection locked="true" hidden="false"/>
    </xf>
    <xf numFmtId="178" fontId="62" fillId="22" borderId="0" xfId="0" applyFont="true" applyBorder="true" applyAlignment="true" applyProtection="false">
      <alignment horizontal="center" vertical="bottom" textRotation="0" wrapText="true" indent="0" shrinkToFit="false"/>
      <protection locked="true" hidden="false"/>
    </xf>
    <xf numFmtId="168" fontId="62" fillId="22" borderId="0" xfId="0" applyFont="true" applyBorder="true" applyAlignment="true" applyProtection="false">
      <alignment horizontal="center" vertical="bottom" textRotation="0" wrapText="true" indent="0" shrinkToFit="false"/>
      <protection locked="true" hidden="false"/>
    </xf>
    <xf numFmtId="168" fontId="63" fillId="23" borderId="0" xfId="0" applyFont="true" applyBorder="true" applyAlignment="true" applyProtection="false">
      <alignment horizontal="center" vertical="bottom" textRotation="0" wrapText="true" indent="0" shrinkToFit="false"/>
      <protection locked="true" hidden="false"/>
    </xf>
    <xf numFmtId="168" fontId="62" fillId="0" borderId="0" xfId="0" applyFont="true" applyBorder="true" applyAlignment="true" applyProtection="false">
      <alignment horizontal="center" vertical="bottom" textRotation="0" wrapText="true" indent="0" shrinkToFit="false"/>
      <protection locked="true" hidden="false"/>
    </xf>
    <xf numFmtId="164" fontId="63" fillId="23" borderId="0" xfId="0" applyFont="true" applyBorder="true" applyAlignment="true" applyProtection="false">
      <alignment horizontal="center" vertical="bottom" textRotation="0" wrapText="true" indent="0" shrinkToFit="false"/>
      <protection locked="true" hidden="false"/>
    </xf>
    <xf numFmtId="164" fontId="53" fillId="0" borderId="0" xfId="0" applyFont="true" applyBorder="true" applyAlignment="true" applyProtection="false">
      <alignment horizontal="center" vertical="bottom" textRotation="0" wrapText="true" indent="0" shrinkToFit="false"/>
      <protection locked="true" hidden="false"/>
    </xf>
    <xf numFmtId="164" fontId="58" fillId="0" borderId="0" xfId="0" applyFont="true" applyBorder="true" applyAlignment="true" applyProtection="false">
      <alignment horizontal="center" vertical="bottom" textRotation="0" wrapText="true" indent="0" shrinkToFit="false"/>
      <protection locked="true" hidden="false"/>
    </xf>
    <xf numFmtId="177" fontId="64" fillId="0" borderId="0"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center" vertical="bottom" textRotation="0" wrapText="false" indent="0" shrinkToFit="false"/>
      <protection locked="true" hidden="false"/>
    </xf>
    <xf numFmtId="164" fontId="64" fillId="0" borderId="0" xfId="0" applyFont="true" applyBorder="true" applyAlignment="true" applyProtection="false">
      <alignment horizontal="center" vertical="bottom" textRotation="0" wrapText="false" indent="0" shrinkToFit="false"/>
      <protection locked="true" hidden="false"/>
    </xf>
    <xf numFmtId="164" fontId="62" fillId="24" borderId="0" xfId="0" applyFont="true" applyBorder="true" applyAlignment="false" applyProtection="false">
      <alignment horizontal="general" vertical="bottom" textRotation="0" wrapText="false" indent="0" shrinkToFit="false"/>
      <protection locked="true" hidden="false"/>
    </xf>
    <xf numFmtId="164" fontId="62" fillId="24" borderId="0"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true" applyAlignment="false" applyProtection="false">
      <alignment horizontal="general" vertical="bottom" textRotation="0" wrapText="false" indent="0" shrinkToFit="false"/>
      <protection locked="true" hidden="false"/>
    </xf>
    <xf numFmtId="164" fontId="66" fillId="0" borderId="0" xfId="0" applyFont="true" applyBorder="true" applyAlignment="false" applyProtection="false">
      <alignment horizontal="general" vertical="bottom" textRotation="0" wrapText="false" indent="0" shrinkToFit="false"/>
      <protection locked="true" hidden="false"/>
    </xf>
    <xf numFmtId="164" fontId="67" fillId="21" borderId="0" xfId="0" applyFont="true" applyBorder="true" applyAlignment="false" applyProtection="false">
      <alignment horizontal="general" vertical="bottom" textRotation="0" wrapText="false" indent="0" shrinkToFit="false"/>
      <protection locked="true" hidden="false"/>
    </xf>
    <xf numFmtId="190" fontId="67" fillId="21" borderId="0" xfId="0" applyFont="true" applyBorder="true" applyAlignment="false" applyProtection="false">
      <alignment horizontal="general" vertical="bottom" textRotation="0" wrapText="false" indent="0" shrinkToFit="false"/>
      <protection locked="true" hidden="false"/>
    </xf>
    <xf numFmtId="168" fontId="67" fillId="21" borderId="0" xfId="0" applyFont="true" applyBorder="true" applyAlignment="true" applyProtection="false">
      <alignment horizontal="center" vertical="bottom" textRotation="0" wrapText="false" indent="0" shrinkToFit="false"/>
      <protection locked="true" hidden="false"/>
    </xf>
    <xf numFmtId="166" fontId="67" fillId="21" borderId="0" xfId="0" applyFont="true" applyBorder="true" applyAlignment="true" applyProtection="false">
      <alignment horizontal="center" vertical="bottom" textRotation="0" wrapText="false" indent="0" shrinkToFit="false"/>
      <protection locked="true" hidden="false"/>
    </xf>
    <xf numFmtId="168" fontId="68" fillId="21" borderId="0" xfId="0" applyFont="true" applyBorder="true" applyAlignment="true" applyProtection="false">
      <alignment horizontal="center" vertical="bottom" textRotation="0" wrapText="false" indent="0" shrinkToFit="false"/>
      <protection locked="true" hidden="false"/>
    </xf>
    <xf numFmtId="191" fontId="53" fillId="0" borderId="0" xfId="0" applyFont="true" applyBorder="true" applyAlignment="false" applyProtection="false">
      <alignment horizontal="general" vertical="bottom" textRotation="0" wrapText="false" indent="0" shrinkToFit="false"/>
      <protection locked="true" hidden="false"/>
    </xf>
    <xf numFmtId="191" fontId="68" fillId="0" borderId="0" xfId="0" applyFont="true" applyBorder="true" applyAlignment="false" applyProtection="false">
      <alignment horizontal="general" vertical="bottom" textRotation="0" wrapText="false" indent="0" shrinkToFit="false"/>
      <protection locked="true" hidden="false"/>
    </xf>
    <xf numFmtId="164" fontId="69" fillId="0" borderId="0" xfId="0" applyFont="true" applyBorder="true" applyAlignment="false" applyProtection="false">
      <alignment horizontal="general" vertical="bottom" textRotation="0" wrapText="false" indent="0" shrinkToFit="false"/>
      <protection locked="true" hidden="false"/>
    </xf>
    <xf numFmtId="190" fontId="53" fillId="0" borderId="0" xfId="0" applyFont="true" applyBorder="true" applyAlignment="false" applyProtection="false">
      <alignment horizontal="general" vertical="bottom" textRotation="0" wrapText="false" indent="0" shrinkToFit="false"/>
      <protection locked="true" hidden="false"/>
    </xf>
    <xf numFmtId="177" fontId="53" fillId="0" borderId="0" xfId="0" applyFont="true" applyBorder="true" applyAlignment="true" applyProtection="false">
      <alignment horizontal="center" vertical="bottom" textRotation="0" wrapText="false" indent="0" shrinkToFit="false"/>
      <protection locked="true" hidden="false"/>
    </xf>
    <xf numFmtId="164" fontId="66" fillId="0" borderId="0" xfId="0" applyFont="true" applyBorder="true" applyAlignment="true" applyProtection="false">
      <alignment horizontal="left" vertical="bottom" textRotation="0" wrapText="false" indent="0" shrinkToFit="false"/>
      <protection locked="true" hidden="false"/>
    </xf>
    <xf numFmtId="190" fontId="66" fillId="0" borderId="0" xfId="0" applyFont="true" applyBorder="true" applyAlignment="false" applyProtection="false">
      <alignment horizontal="general" vertical="bottom" textRotation="0" wrapText="false" indent="0" shrinkToFit="false"/>
      <protection locked="true" hidden="false"/>
    </xf>
    <xf numFmtId="177" fontId="66" fillId="0" borderId="0" xfId="0" applyFont="true" applyBorder="true" applyAlignment="true" applyProtection="false">
      <alignment horizontal="center" vertical="bottom" textRotation="0" wrapText="false" indent="0" shrinkToFit="false"/>
      <protection locked="true" hidden="false"/>
    </xf>
    <xf numFmtId="166" fontId="66" fillId="0" borderId="0" xfId="0" applyFont="true" applyBorder="true" applyAlignment="true" applyProtection="false">
      <alignment horizontal="center" vertical="bottom" textRotation="0" wrapText="false" indent="0" shrinkToFit="false"/>
      <protection locked="true" hidden="false"/>
    </xf>
    <xf numFmtId="191" fontId="66" fillId="0" borderId="0" xfId="0" applyFont="true" applyBorder="true" applyAlignment="false" applyProtection="false">
      <alignment horizontal="general" vertical="bottom" textRotation="0" wrapText="false" indent="0" shrinkToFit="false"/>
      <protection locked="true" hidden="false"/>
    </xf>
    <xf numFmtId="164" fontId="67" fillId="21" borderId="0" xfId="0" applyFont="true" applyBorder="true" applyAlignment="true" applyProtection="false">
      <alignment horizontal="left" vertical="bottom" textRotation="0" wrapText="false" indent="0" shrinkToFit="false"/>
      <protection locked="true" hidden="false"/>
    </xf>
    <xf numFmtId="164" fontId="67" fillId="13" borderId="0" xfId="0" applyFont="true" applyBorder="true" applyAlignment="true" applyProtection="false">
      <alignment horizontal="left" vertical="bottom" textRotation="0" wrapText="false" indent="0" shrinkToFit="false"/>
      <protection locked="true" hidden="false"/>
    </xf>
    <xf numFmtId="164" fontId="67" fillId="13" borderId="0" xfId="0" applyFont="true" applyBorder="true" applyAlignment="false" applyProtection="false">
      <alignment horizontal="general" vertical="bottom" textRotation="0" wrapText="false" indent="0" shrinkToFit="false"/>
      <protection locked="true" hidden="false"/>
    </xf>
    <xf numFmtId="190" fontId="67" fillId="13" borderId="0" xfId="0" applyFont="true" applyBorder="true" applyAlignment="false" applyProtection="false">
      <alignment horizontal="general" vertical="bottom" textRotation="0" wrapText="false" indent="0" shrinkToFit="false"/>
      <protection locked="true" hidden="false"/>
    </xf>
    <xf numFmtId="168" fontId="67" fillId="13" borderId="0" xfId="0" applyFont="true" applyBorder="true" applyAlignment="true" applyProtection="false">
      <alignment horizontal="center" vertical="bottom" textRotation="0" wrapText="false" indent="0" shrinkToFit="false"/>
      <protection locked="true" hidden="false"/>
    </xf>
    <xf numFmtId="177" fontId="67" fillId="13" borderId="0" xfId="0" applyFont="true" applyBorder="true" applyAlignment="true" applyProtection="false">
      <alignment horizontal="center" vertical="bottom" textRotation="0" wrapText="false" indent="0" shrinkToFit="false"/>
      <protection locked="true" hidden="false"/>
    </xf>
    <xf numFmtId="166" fontId="67" fillId="13" borderId="0"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true" applyAlignment="false" applyProtection="false">
      <alignment horizontal="general" vertical="bottom" textRotation="0" wrapText="false" indent="0" shrinkToFit="false"/>
      <protection locked="true" hidden="false"/>
    </xf>
    <xf numFmtId="166" fontId="53" fillId="0" borderId="0" xfId="0" applyFont="true" applyBorder="true" applyAlignment="true" applyProtection="false">
      <alignment horizontal="center" vertical="bottom" textRotation="0" wrapText="false" indent="0" shrinkToFit="false"/>
      <protection locked="true" hidden="false"/>
    </xf>
    <xf numFmtId="164" fontId="58" fillId="13" borderId="0" xfId="0" applyFont="true" applyBorder="true" applyAlignment="false" applyProtection="false">
      <alignment horizontal="general" vertical="bottom" textRotation="0" wrapText="false" indent="0" shrinkToFit="false"/>
      <protection locked="true" hidden="false"/>
    </xf>
    <xf numFmtId="190" fontId="58" fillId="13" borderId="0" xfId="0" applyFont="true" applyBorder="true" applyAlignment="false" applyProtection="false">
      <alignment horizontal="general" vertical="bottom" textRotation="0" wrapText="false" indent="0" shrinkToFit="false"/>
      <protection locked="true" hidden="false"/>
    </xf>
    <xf numFmtId="177" fontId="58" fillId="13" borderId="0" xfId="0" applyFont="true" applyBorder="true" applyAlignment="true" applyProtection="false">
      <alignment horizontal="center" vertical="bottom" textRotation="0" wrapText="false" indent="0" shrinkToFit="false"/>
      <protection locked="true" hidden="false"/>
    </xf>
    <xf numFmtId="191" fontId="58" fillId="13" borderId="0" xfId="0" applyFont="true" applyBorder="true" applyAlignment="false" applyProtection="false">
      <alignment horizontal="general" vertical="bottom" textRotation="0" wrapText="false" indent="0" shrinkToFit="false"/>
      <protection locked="true" hidden="false"/>
    </xf>
    <xf numFmtId="191" fontId="58" fillId="0" borderId="0" xfId="0" applyFont="true" applyBorder="true" applyAlignment="false" applyProtection="false">
      <alignment horizontal="general" vertical="bottom" textRotation="0" wrapText="false" indent="0" shrinkToFit="false"/>
      <protection locked="true" hidden="false"/>
    </xf>
    <xf numFmtId="164" fontId="58" fillId="2" borderId="3" xfId="0" applyFont="true" applyBorder="true" applyAlignment="false" applyProtection="false">
      <alignment horizontal="general" vertical="bottom" textRotation="0" wrapText="false" indent="0" shrinkToFit="false"/>
      <protection locked="true" hidden="false"/>
    </xf>
    <xf numFmtId="190" fontId="58" fillId="2" borderId="3" xfId="0" applyFont="true" applyBorder="true" applyAlignment="false" applyProtection="false">
      <alignment horizontal="general" vertical="bottom" textRotation="0" wrapText="false" indent="0" shrinkToFit="false"/>
      <protection locked="true" hidden="false"/>
    </xf>
    <xf numFmtId="177" fontId="58" fillId="2" borderId="3" xfId="0" applyFont="true" applyBorder="true" applyAlignment="true" applyProtection="false">
      <alignment horizontal="center" vertical="bottom" textRotation="0" wrapText="false" indent="0" shrinkToFit="false"/>
      <protection locked="true" hidden="false"/>
    </xf>
    <xf numFmtId="191" fontId="58" fillId="2" borderId="3" xfId="0" applyFont="true" applyBorder="true" applyAlignment="false" applyProtection="false">
      <alignment horizontal="general" vertical="bottom" textRotation="0" wrapText="false" indent="0" shrinkToFit="false"/>
      <protection locked="true" hidden="false"/>
    </xf>
    <xf numFmtId="190" fontId="58" fillId="0" borderId="0" xfId="0" applyFont="true" applyBorder="true" applyAlignment="false" applyProtection="false">
      <alignment horizontal="general" vertical="bottom" textRotation="0" wrapText="false" indent="0" shrinkToFit="false"/>
      <protection locked="true" hidden="false"/>
    </xf>
    <xf numFmtId="177" fontId="58" fillId="0" borderId="0" xfId="0" applyFont="true" applyBorder="true" applyAlignment="true" applyProtection="false">
      <alignment horizontal="center" vertical="bottom" textRotation="0" wrapText="false" indent="0" shrinkToFit="false"/>
      <protection locked="true" hidden="false"/>
    </xf>
    <xf numFmtId="192" fontId="58" fillId="0" borderId="0" xfId="0" applyFont="true" applyBorder="true" applyAlignment="false" applyProtection="false">
      <alignment horizontal="general" vertical="bottom" textRotation="0" wrapText="false" indent="0" shrinkToFit="false"/>
      <protection locked="true" hidden="false"/>
    </xf>
    <xf numFmtId="164" fontId="64" fillId="0" borderId="0" xfId="0" applyFont="true" applyBorder="true" applyAlignment="true" applyProtection="false">
      <alignment horizontal="right" vertical="bottom" textRotation="0" wrapText="false" indent="0" shrinkToFit="false"/>
      <protection locked="true" hidden="false"/>
    </xf>
    <xf numFmtId="164" fontId="54" fillId="0" borderId="0" xfId="0" applyFont="true" applyBorder="true" applyAlignment="false" applyProtection="false">
      <alignment horizontal="general" vertical="bottom" textRotation="0" wrapText="false" indent="0" shrinkToFit="false"/>
      <protection locked="true" hidden="false"/>
    </xf>
    <xf numFmtId="164" fontId="55" fillId="0" borderId="0"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true" applyAlignment="false" applyProtection="false">
      <alignment horizontal="general" vertical="bottom" textRotation="0" wrapText="false" indent="0" shrinkToFit="false"/>
      <protection locked="true" hidden="false"/>
    </xf>
    <xf numFmtId="164" fontId="62" fillId="22" borderId="0" xfId="0" applyFont="true" applyBorder="true" applyAlignment="false" applyProtection="false">
      <alignment horizontal="general" vertical="bottom" textRotation="0" wrapText="false" indent="0" shrinkToFit="false"/>
      <protection locked="true" hidden="false"/>
    </xf>
    <xf numFmtId="168" fontId="62" fillId="22" borderId="0" xfId="0" applyFont="true" applyBorder="true" applyAlignment="true" applyProtection="false">
      <alignment horizontal="center" vertical="bottom" textRotation="0" wrapText="false" indent="0" shrinkToFit="false"/>
      <protection locked="true" hidden="false"/>
    </xf>
    <xf numFmtId="168" fontId="58" fillId="23" borderId="0" xfId="0" applyFont="true" applyBorder="true" applyAlignment="true" applyProtection="false">
      <alignment horizontal="center" vertical="bottom" textRotation="0" wrapText="false" indent="0" shrinkToFit="false"/>
      <protection locked="true" hidden="false"/>
    </xf>
    <xf numFmtId="164" fontId="58" fillId="23" borderId="0" xfId="0" applyFont="true" applyBorder="true" applyAlignment="true" applyProtection="false">
      <alignment horizontal="center" vertical="bottom" textRotation="0" wrapText="false" indent="0" shrinkToFit="false"/>
      <protection locked="true" hidden="false"/>
    </xf>
    <xf numFmtId="192" fontId="53" fillId="0" borderId="0" xfId="0" applyFont="true" applyBorder="true" applyAlignment="false" applyProtection="false">
      <alignment horizontal="general" vertical="bottom" textRotation="0" wrapText="false" indent="0" shrinkToFit="false"/>
      <protection locked="true" hidden="false"/>
    </xf>
    <xf numFmtId="192" fontId="58" fillId="13" borderId="0" xfId="0" applyFont="true" applyBorder="true" applyAlignment="false" applyProtection="false">
      <alignment horizontal="general" vertical="bottom" textRotation="0" wrapText="false" indent="0" shrinkToFit="false"/>
      <protection locked="true" hidden="false"/>
    </xf>
    <xf numFmtId="164" fontId="58" fillId="2" borderId="0" xfId="0" applyFont="true" applyBorder="true" applyAlignment="false" applyProtection="false">
      <alignment horizontal="general" vertical="bottom" textRotation="0" wrapText="false" indent="0" shrinkToFit="false"/>
      <protection locked="true" hidden="false"/>
    </xf>
    <xf numFmtId="192" fontId="58" fillId="2" borderId="0" xfId="0" applyFont="true" applyBorder="true" applyAlignment="false" applyProtection="false">
      <alignment horizontal="general" vertical="bottom" textRotation="0" wrapText="false" indent="0" shrinkToFit="false"/>
      <protection locked="true" hidden="false"/>
    </xf>
    <xf numFmtId="164" fontId="71" fillId="0" borderId="0" xfId="0" applyFont="true" applyBorder="true" applyAlignment="false" applyProtection="false">
      <alignment horizontal="general" vertical="bottom" textRotation="0" wrapText="false" indent="0" shrinkToFit="false"/>
      <protection locked="true" hidden="false"/>
    </xf>
    <xf numFmtId="193" fontId="53" fillId="0" borderId="0" xfId="0" applyFont="true" applyBorder="true" applyAlignment="false" applyProtection="false">
      <alignment horizontal="general" vertical="bottom" textRotation="0" wrapText="false" indent="0" shrinkToFit="false"/>
      <protection locked="true" hidden="false"/>
    </xf>
    <xf numFmtId="193" fontId="58" fillId="0" borderId="0" xfId="0" applyFont="true" applyBorder="true" applyAlignment="false" applyProtection="false">
      <alignment horizontal="general" vertical="bottom" textRotation="0" wrapText="false" indent="0" shrinkToFit="false"/>
      <protection locked="true" hidden="false"/>
    </xf>
    <xf numFmtId="164" fontId="53" fillId="2" borderId="0" xfId="0" applyFont="true" applyBorder="true" applyAlignment="false" applyProtection="false">
      <alignment horizontal="general" vertical="bottom" textRotation="0" wrapText="false" indent="0" shrinkToFit="false"/>
      <protection locked="true" hidden="false"/>
    </xf>
    <xf numFmtId="193" fontId="58" fillId="2" borderId="0" xfId="0" applyFont="true" applyBorder="true" applyAlignment="false" applyProtection="false">
      <alignment horizontal="general" vertical="bottom" textRotation="0" wrapText="false" indent="0" shrinkToFit="false"/>
      <protection locked="true" hidden="false"/>
    </xf>
    <xf numFmtId="164" fontId="73" fillId="0" borderId="0" xfId="0" applyFont="true" applyBorder="true" applyAlignment="true" applyProtection="false">
      <alignment horizontal="general" vertical="center" textRotation="0" wrapText="false" indent="0" shrinkToFit="false"/>
      <protection locked="true" hidden="false"/>
    </xf>
    <xf numFmtId="164" fontId="74" fillId="0" borderId="0" xfId="0" applyFont="true" applyBorder="true" applyAlignment="true" applyProtection="false">
      <alignment horizontal="general" vertical="center" textRotation="0" wrapText="false" indent="0" shrinkToFit="false"/>
      <protection locked="true" hidden="false"/>
    </xf>
    <xf numFmtId="164" fontId="75" fillId="0" borderId="0" xfId="0" applyFont="true" applyBorder="true" applyAlignment="true" applyProtection="false">
      <alignment horizontal="general" vertical="top" textRotation="0" wrapText="true" indent="0" shrinkToFit="false"/>
      <protection locked="true" hidden="false"/>
    </xf>
    <xf numFmtId="164" fontId="25" fillId="11" borderId="0" xfId="0" applyFont="true" applyBorder="true" applyAlignment="true" applyProtection="false">
      <alignment horizontal="general" vertical="center" textRotation="0" wrapText="false" indent="0" shrinkToFit="false"/>
      <protection locked="true" hidden="false"/>
    </xf>
    <xf numFmtId="166" fontId="76" fillId="0" borderId="0" xfId="0" applyFont="true" applyBorder="true" applyAlignment="true" applyProtection="false">
      <alignment horizontal="right" vertical="center" textRotation="0" wrapText="false" indent="0" shrinkToFit="false"/>
      <protection locked="true" hidden="false"/>
    </xf>
    <xf numFmtId="164" fontId="75" fillId="0" borderId="0" xfId="0" applyFont="true" applyBorder="true" applyAlignment="true" applyProtection="false">
      <alignment horizontal="general" vertical="center" textRotation="0" wrapText="false" indent="0" shrinkToFit="false"/>
      <protection locked="true" hidden="false"/>
    </xf>
    <xf numFmtId="168" fontId="76" fillId="0" borderId="0" xfId="0" applyFont="true" applyBorder="true" applyAlignment="true" applyProtection="false">
      <alignment horizontal="right" vertical="center" textRotation="0" wrapText="false" indent="0" shrinkToFit="false"/>
      <protection locked="true" hidden="false"/>
    </xf>
    <xf numFmtId="177" fontId="76" fillId="0" borderId="0" xfId="0" applyFont="true" applyBorder="true" applyAlignment="true" applyProtection="false">
      <alignment horizontal="right" vertical="center" textRotation="0" wrapText="false" indent="0" shrinkToFit="false"/>
      <protection locked="true" hidden="false"/>
    </xf>
    <xf numFmtId="192" fontId="76" fillId="0" borderId="0" xfId="0" applyFont="true" applyBorder="true" applyAlignment="true" applyProtection="false">
      <alignment horizontal="right" vertical="center" textRotation="0" wrapText="false" indent="0" shrinkToFit="false"/>
      <protection locked="true" hidden="false"/>
    </xf>
    <xf numFmtId="194" fontId="32" fillId="9" borderId="0" xfId="0" applyFont="true" applyBorder="true" applyAlignment="true" applyProtection="false">
      <alignment horizontal="right" vertical="center" textRotation="0" wrapText="false" indent="0" shrinkToFit="false"/>
      <protection locked="true" hidden="false"/>
    </xf>
    <xf numFmtId="168" fontId="25" fillId="11" borderId="0" xfId="0" applyFont="true" applyBorder="true" applyAlignment="true" applyProtection="false">
      <alignment horizontal="right" vertical="center" textRotation="0" wrapText="false" indent="0" shrinkToFit="false"/>
      <protection locked="true" hidden="false"/>
    </xf>
    <xf numFmtId="164" fontId="25" fillId="11" borderId="0" xfId="0" applyFont="true" applyBorder="true" applyAlignment="true" applyProtection="false">
      <alignment horizontal="right" vertical="center" textRotation="0" wrapText="false" indent="0" shrinkToFit="false"/>
      <protection locked="true" hidden="false"/>
    </xf>
    <xf numFmtId="164" fontId="25" fillId="11" borderId="0" xfId="0" applyFont="true" applyBorder="true" applyAlignment="true" applyProtection="false">
      <alignment horizontal="center" vertical="center" textRotation="0" wrapText="true" indent="0" shrinkToFit="false"/>
      <protection locked="true" hidden="false"/>
    </xf>
    <xf numFmtId="194" fontId="74" fillId="0" borderId="0" xfId="0" applyFont="true" applyBorder="true" applyAlignment="true" applyProtection="false">
      <alignment horizontal="general" vertical="center" textRotation="0" wrapText="false" indent="0" shrinkToFit="false"/>
      <protection locked="true" hidden="false"/>
    </xf>
    <xf numFmtId="180" fontId="77" fillId="13" borderId="0" xfId="0" applyFont="true" applyBorder="true" applyAlignment="true" applyProtection="false">
      <alignment horizontal="general" vertical="center" textRotation="0" wrapText="false" indent="0" shrinkToFit="false"/>
      <protection locked="true" hidden="false"/>
    </xf>
    <xf numFmtId="180" fontId="32" fillId="9" borderId="0" xfId="0" applyFont="true" applyBorder="true" applyAlignment="true" applyProtection="false">
      <alignment horizontal="general" vertical="center" textRotation="0" wrapText="false" indent="0" shrinkToFit="false"/>
      <protection locked="true" hidden="false"/>
    </xf>
    <xf numFmtId="168" fontId="32" fillId="9" borderId="0" xfId="0" applyFont="true" applyBorder="true" applyAlignment="true" applyProtection="false">
      <alignment horizontal="center" vertical="center" textRotation="0" wrapText="false" indent="0" shrinkToFit="false"/>
      <protection locked="true" hidden="false"/>
    </xf>
    <xf numFmtId="180" fontId="32" fillId="9" borderId="0" xfId="0" applyFont="true" applyBorder="true" applyAlignment="true" applyProtection="false">
      <alignment horizontal="center" vertical="center" textRotation="0" wrapText="false" indent="0" shrinkToFit="false"/>
      <protection locked="true" hidden="false"/>
    </xf>
    <xf numFmtId="192" fontId="32" fillId="9" borderId="0" xfId="0" applyFont="true" applyBorder="true" applyAlignment="true" applyProtection="false">
      <alignment horizontal="general" vertical="center" textRotation="0" wrapText="false" indent="0" shrinkToFit="false"/>
      <protection locked="true" hidden="false"/>
    </xf>
    <xf numFmtId="192" fontId="74" fillId="20" borderId="0" xfId="0" applyFont="true" applyBorder="true" applyAlignment="true" applyProtection="false">
      <alignment horizontal="general" vertical="center" textRotation="0" wrapText="false" indent="0" shrinkToFit="false"/>
      <protection locked="true" hidden="false"/>
    </xf>
    <xf numFmtId="177" fontId="74" fillId="20" borderId="0" xfId="0" applyFont="true" applyBorder="true" applyAlignment="true" applyProtection="false">
      <alignment horizontal="center" vertical="center" textRotation="0" wrapText="false" indent="0" shrinkToFit="false"/>
      <protection locked="true" hidden="false"/>
    </xf>
    <xf numFmtId="195" fontId="32" fillId="9" borderId="0" xfId="0" applyFont="true" applyBorder="true" applyAlignment="true" applyProtection="false">
      <alignment horizontal="general" vertical="center" textRotation="0" wrapText="false" indent="0" shrinkToFit="false"/>
      <protection locked="true" hidden="false"/>
    </xf>
    <xf numFmtId="195" fontId="74" fillId="20" borderId="0" xfId="0" applyFont="true" applyBorder="true" applyAlignment="true" applyProtection="false">
      <alignment horizontal="general" vertical="center" textRotation="0" wrapText="false" indent="0" shrinkToFit="false"/>
      <protection locked="true" hidden="false"/>
    </xf>
    <xf numFmtId="164" fontId="77" fillId="0" borderId="3" xfId="0" applyFont="true" applyBorder="true" applyAlignment="true" applyProtection="false">
      <alignment horizontal="general" vertical="center" textRotation="0" wrapText="false" indent="0" shrinkToFit="false"/>
      <protection locked="true" hidden="false"/>
    </xf>
    <xf numFmtId="194" fontId="77" fillId="0" borderId="3" xfId="0" applyFont="true" applyBorder="true" applyAlignment="true" applyProtection="false">
      <alignment horizontal="general" vertical="center" textRotation="0" wrapText="false" indent="0" shrinkToFit="false"/>
      <protection locked="true" hidden="false"/>
    </xf>
    <xf numFmtId="180" fontId="77" fillId="13" borderId="3" xfId="0" applyFont="true" applyBorder="true" applyAlignment="true" applyProtection="false">
      <alignment horizontal="general" vertical="center" textRotation="0" wrapText="false" indent="0" shrinkToFit="false"/>
      <protection locked="true" hidden="false"/>
    </xf>
    <xf numFmtId="194" fontId="77" fillId="13" borderId="0" xfId="0" applyFont="true" applyBorder="true" applyAlignment="true" applyProtection="false">
      <alignment horizontal="general" vertical="center" textRotation="0" wrapText="false" indent="0" shrinkToFit="false"/>
      <protection locked="true" hidden="false"/>
    </xf>
    <xf numFmtId="192" fontId="74" fillId="0" borderId="0" xfId="0" applyFont="true" applyBorder="true" applyAlignment="true" applyProtection="false">
      <alignment horizontal="general" vertical="center" textRotation="0" wrapText="false" indent="0" shrinkToFit="false"/>
      <protection locked="true" hidden="false"/>
    </xf>
    <xf numFmtId="192" fontId="77" fillId="13" borderId="0" xfId="0" applyFont="true" applyBorder="true" applyAlignment="true" applyProtection="false">
      <alignment horizontal="general" vertical="center" textRotation="0" wrapText="false" indent="0" shrinkToFit="false"/>
      <protection locked="true" hidden="false"/>
    </xf>
    <xf numFmtId="164" fontId="74" fillId="0" borderId="17" xfId="0" applyFont="true" applyBorder="true" applyAlignment="true" applyProtection="false">
      <alignment horizontal="general" vertical="center" textRotation="0" wrapText="false" indent="0" shrinkToFit="false"/>
      <protection locked="true" hidden="false"/>
    </xf>
    <xf numFmtId="192" fontId="74" fillId="0" borderId="17" xfId="0" applyFont="true" applyBorder="true" applyAlignment="true" applyProtection="false">
      <alignment horizontal="general" vertical="center" textRotation="0" wrapText="false" indent="0" shrinkToFit="false"/>
      <protection locked="true" hidden="false"/>
    </xf>
    <xf numFmtId="192" fontId="77" fillId="13" borderId="17" xfId="0" applyFont="true" applyBorder="true" applyAlignment="true" applyProtection="false">
      <alignment horizontal="general" vertical="center" textRotation="0" wrapText="false" indent="0" shrinkToFit="false"/>
      <protection locked="true" hidden="false"/>
    </xf>
    <xf numFmtId="192" fontId="77" fillId="0" borderId="3" xfId="0" applyFont="true" applyBorder="true" applyAlignment="true" applyProtection="false">
      <alignment horizontal="general" vertical="center" textRotation="0" wrapText="false" indent="0" shrinkToFit="false"/>
      <protection locked="true" hidden="false"/>
    </xf>
    <xf numFmtId="192" fontId="77" fillId="13" borderId="3" xfId="0" applyFont="true" applyBorder="true" applyAlignment="true" applyProtection="false">
      <alignment horizontal="general" vertical="center" textRotation="0" wrapText="false" indent="0" shrinkToFit="false"/>
      <protection locked="true" hidden="false"/>
    </xf>
    <xf numFmtId="164" fontId="74" fillId="20" borderId="0" xfId="0" applyFont="true" applyBorder="true" applyAlignment="true" applyProtection="false">
      <alignment horizontal="general" vertical="center" textRotation="0" wrapText="false" indent="0" shrinkToFit="false"/>
      <protection locked="true" hidden="false"/>
    </xf>
    <xf numFmtId="194" fontId="74" fillId="20" borderId="0" xfId="0" applyFont="true" applyBorder="true" applyAlignment="true" applyProtection="false">
      <alignment horizontal="general" vertical="center" textRotation="0" wrapText="false" indent="0" shrinkToFit="false"/>
      <protection locked="true" hidden="false"/>
    </xf>
    <xf numFmtId="164" fontId="77" fillId="20" borderId="0" xfId="0" applyFont="true" applyBorder="true" applyAlignment="true" applyProtection="false">
      <alignment horizontal="general" vertical="center" textRotation="0" wrapText="false" indent="0" shrinkToFit="false"/>
      <protection locked="true" hidden="false"/>
    </xf>
    <xf numFmtId="192" fontId="77" fillId="20" borderId="0" xfId="0" applyFont="true" applyBorder="true" applyAlignment="true" applyProtection="false">
      <alignment horizontal="general" vertical="center" textRotation="0" wrapText="false" indent="0" shrinkToFit="false"/>
      <protection locked="true" hidden="false"/>
    </xf>
    <xf numFmtId="192" fontId="32" fillId="9" borderId="0" xfId="0" applyFont="true" applyBorder="true" applyAlignment="true" applyProtection="false">
      <alignment horizontal="right" vertical="center" textRotation="0" wrapText="false" indent="0" shrinkToFit="false"/>
      <protection locked="true" hidden="false"/>
    </xf>
    <xf numFmtId="195" fontId="32" fillId="9" borderId="0" xfId="0" applyFont="true" applyBorder="true" applyAlignment="true" applyProtection="false">
      <alignment horizontal="right" vertical="center" textRotation="0" wrapText="false" indent="0" shrinkToFit="false"/>
      <protection locked="true" hidden="false"/>
    </xf>
    <xf numFmtId="192" fontId="74" fillId="0" borderId="0" xfId="0" applyFont="true" applyBorder="true" applyAlignment="true" applyProtection="false">
      <alignment horizontal="right" vertical="center" textRotation="0" wrapText="false" indent="0" shrinkToFit="false"/>
      <protection locked="true" hidden="false"/>
    </xf>
    <xf numFmtId="192" fontId="77" fillId="0" borderId="3" xfId="0" applyFont="true" applyBorder="true" applyAlignment="true" applyProtection="false">
      <alignment horizontal="right" vertical="center" textRotation="0" wrapText="false" indent="0" shrinkToFit="false"/>
      <protection locked="true" hidden="false"/>
    </xf>
    <xf numFmtId="164" fontId="78" fillId="0" borderId="0" xfId="0" applyFont="true" applyBorder="true" applyAlignment="true" applyProtection="false">
      <alignment horizontal="general" vertical="center" textRotation="0" wrapText="false" indent="0" shrinkToFit="false"/>
      <protection locked="true" hidden="false"/>
    </xf>
    <xf numFmtId="164" fontId="74" fillId="0" borderId="0" xfId="0" applyFont="true" applyBorder="true" applyAlignment="true" applyProtection="false">
      <alignment horizontal="general" vertical="top" textRotation="0" wrapText="true" indent="0" shrinkToFit="false"/>
      <protection locked="true" hidden="false"/>
    </xf>
    <xf numFmtId="164" fontId="7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FF0000"/>
      <rgbColor rgb="FF007E00"/>
      <rgbColor rgb="FF0000FF"/>
      <rgbColor rgb="FFFFF2CC"/>
      <rgbColor rgb="FFFAE2D5"/>
      <rgbColor rgb="FFD9E1F2"/>
      <rgbColor rgb="FFC00000"/>
      <rgbColor rgb="FF008000"/>
      <rgbColor rgb="FF000080"/>
      <rgbColor rgb="FF7F7F7F"/>
      <rgbColor rgb="FF800080"/>
      <rgbColor rgb="FF196B24"/>
      <rgbColor rgb="FFC0C0C0"/>
      <rgbColor rgb="FF808080"/>
      <rgbColor rgb="FF999999"/>
      <rgbColor rgb="FF80350E"/>
      <rgbColor rgb="FFFFFFCC"/>
      <rgbColor rgb="FFDDEBF7"/>
      <rgbColor rgb="FF660066"/>
      <rgbColor rgb="FFF6C6AD"/>
      <rgbColor rgb="FF0070C0"/>
      <rgbColor rgb="FFBDD7EE"/>
      <rgbColor rgb="FF000080"/>
      <rgbColor rgb="FFFFF7D6"/>
      <rgbColor rgb="FFB3E5A1"/>
      <rgbColor rgb="FFF2F2F2"/>
      <rgbColor rgb="FF800080"/>
      <rgbColor rgb="FF800000"/>
      <rgbColor rgb="FF1F4E78"/>
      <rgbColor rgb="FF0000CC"/>
      <rgbColor rgb="FFD9D9D9"/>
      <rgbColor rgb="FFDBE9F7"/>
      <rgbColor rgb="FFD9F2D0"/>
      <rgbColor rgb="FFFFE699"/>
      <rgbColor rgb="FFA6C9EB"/>
      <rgbColor rgb="FFFFC7CE"/>
      <rgbColor rgb="FFBFBFBF"/>
      <rgbColor rgb="FFF8CBAD"/>
      <rgbColor rgb="FF385723"/>
      <rgbColor rgb="FFC6E0B4"/>
      <rgbColor rgb="FF8ED873"/>
      <rgbColor rgb="FFFFCC66"/>
      <rgbColor rgb="FFD0D0D0"/>
      <rgbColor rgb="FFD8D8D8"/>
      <rgbColor rgb="FF666666"/>
      <rgbColor rgb="FF969696"/>
      <rgbColor rgb="FF1E3863"/>
      <rgbColor rgb="FF007F00"/>
      <rgbColor rgb="FF060606"/>
      <rgbColor rgb="FF275317"/>
      <rgbColor rgb="FF993300"/>
      <rgbColor rgb="FF595959"/>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8.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9.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0.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1.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44"/>
    <col collapsed="false" customWidth="true" hidden="false" outlineLevel="0" max="5" min="4" style="0" width="60"/>
    <col collapsed="false" customWidth="true" hidden="false" outlineLevel="0" max="7" min="6" style="0" width="30"/>
    <col collapsed="false" customWidth="true" hidden="false" outlineLevel="0" max="8" min="8" style="0" width="5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6" customFormat="false" ht="15" hidden="false" customHeight="false" outlineLevel="0" collapsed="false">
      <c r="A6" s="2" t="s">
        <v>3</v>
      </c>
    </row>
    <row r="7" customFormat="false" ht="15" hidden="false" customHeight="false" outlineLevel="0" collapsed="false">
      <c r="A7" s="2" t="s">
        <v>4</v>
      </c>
      <c r="B7" s="2" t="s">
        <v>5</v>
      </c>
      <c r="C7" s="2" t="s">
        <v>6</v>
      </c>
      <c r="D7" s="2" t="s">
        <v>7</v>
      </c>
      <c r="E7" s="2" t="s">
        <v>8</v>
      </c>
      <c r="F7" s="2" t="s">
        <v>9</v>
      </c>
    </row>
    <row r="8" customFormat="false" ht="216.4" hidden="false" customHeight="false" outlineLevel="0" collapsed="false">
      <c r="A8" s="4" t="s">
        <v>10</v>
      </c>
      <c r="B8" s="4" t="s">
        <v>11</v>
      </c>
      <c r="C8" s="4" t="s">
        <v>12</v>
      </c>
      <c r="D8" s="4" t="s">
        <v>13</v>
      </c>
      <c r="E8" s="4" t="s">
        <v>14</v>
      </c>
      <c r="F8" s="4" t="s">
        <v>15</v>
      </c>
    </row>
    <row r="9" customFormat="false" ht="95.5" hidden="false" customHeight="false" outlineLevel="0" collapsed="false">
      <c r="A9" s="4" t="s">
        <v>16</v>
      </c>
      <c r="B9" s="4" t="s">
        <v>17</v>
      </c>
      <c r="C9" s="4" t="s">
        <v>18</v>
      </c>
      <c r="D9" s="4" t="s">
        <v>19</v>
      </c>
      <c r="E9" s="4" t="s">
        <v>20</v>
      </c>
      <c r="F9" s="4" t="s">
        <v>21</v>
      </c>
    </row>
    <row r="10" customFormat="false" ht="55.2" hidden="false" customHeight="false" outlineLevel="0" collapsed="false">
      <c r="A10" s="4" t="s">
        <v>22</v>
      </c>
      <c r="B10" s="4" t="s">
        <v>23</v>
      </c>
      <c r="C10" s="4" t="s">
        <v>24</v>
      </c>
      <c r="D10" s="4" t="s">
        <v>25</v>
      </c>
      <c r="E10" s="4" t="s">
        <v>26</v>
      </c>
      <c r="F10" s="4" t="s">
        <v>27</v>
      </c>
    </row>
    <row r="11" customFormat="false" ht="55.2" hidden="false" customHeight="false" outlineLevel="0" collapsed="false">
      <c r="A11" s="4" t="s">
        <v>28</v>
      </c>
      <c r="B11" s="4" t="s">
        <v>29</v>
      </c>
      <c r="C11" s="4" t="s">
        <v>30</v>
      </c>
      <c r="D11" s="4" t="s">
        <v>31</v>
      </c>
      <c r="E11" s="4" t="s">
        <v>32</v>
      </c>
      <c r="F11" s="4" t="s">
        <v>33</v>
      </c>
    </row>
    <row r="12" customFormat="false" ht="55.2" hidden="false" customHeight="false" outlineLevel="0" collapsed="false">
      <c r="A12" s="4" t="s">
        <v>34</v>
      </c>
      <c r="B12" s="4" t="s">
        <v>35</v>
      </c>
      <c r="C12" s="4" t="s">
        <v>36</v>
      </c>
      <c r="D12" s="4" t="s">
        <v>37</v>
      </c>
      <c r="E12" s="4" t="s">
        <v>38</v>
      </c>
      <c r="F12" s="4" t="s">
        <v>39</v>
      </c>
    </row>
    <row r="13" customFormat="false" ht="350.7" hidden="false" customHeight="false" outlineLevel="0" collapsed="false">
      <c r="A13" s="4" t="s">
        <v>40</v>
      </c>
      <c r="B13" s="4" t="s">
        <v>41</v>
      </c>
      <c r="C13" s="4" t="s">
        <v>42</v>
      </c>
      <c r="D13" s="4" t="s">
        <v>43</v>
      </c>
      <c r="E13" s="4" t="s">
        <v>44</v>
      </c>
      <c r="F13" s="4" t="s">
        <v>45</v>
      </c>
    </row>
    <row r="14" customFormat="false" ht="68.65" hidden="false" customHeight="false" outlineLevel="0" collapsed="false">
      <c r="A14" s="4" t="s">
        <v>46</v>
      </c>
      <c r="B14" s="4" t="s">
        <v>47</v>
      </c>
      <c r="C14" s="4" t="s">
        <v>48</v>
      </c>
      <c r="D14" s="4" t="s">
        <v>49</v>
      </c>
      <c r="E14" s="4" t="s">
        <v>50</v>
      </c>
      <c r="F14" s="4" t="s">
        <v>51</v>
      </c>
    </row>
    <row r="15" customFormat="false" ht="41.75" hidden="false" customHeight="false" outlineLevel="0" collapsed="false">
      <c r="A15" s="4" t="s">
        <v>52</v>
      </c>
      <c r="B15" s="4" t="s">
        <v>53</v>
      </c>
      <c r="C15" s="4" t="s">
        <v>54</v>
      </c>
      <c r="D15" s="4" t="s">
        <v>55</v>
      </c>
      <c r="E15" s="4" t="s">
        <v>56</v>
      </c>
      <c r="F15" s="4" t="s">
        <v>39</v>
      </c>
    </row>
    <row r="16" customFormat="false" ht="55.2" hidden="false" customHeight="false" outlineLevel="0" collapsed="false">
      <c r="A16" s="4" t="s">
        <v>57</v>
      </c>
      <c r="B16" s="4" t="s">
        <v>58</v>
      </c>
      <c r="C16" s="4" t="s">
        <v>59</v>
      </c>
      <c r="D16" s="4" t="s">
        <v>60</v>
      </c>
      <c r="E16" s="4" t="s">
        <v>61</v>
      </c>
      <c r="F16" s="4" t="s">
        <v>62</v>
      </c>
    </row>
    <row r="17" customFormat="false" ht="310.4" hidden="false" customHeight="false" outlineLevel="0" collapsed="false">
      <c r="A17" s="4" t="s">
        <v>63</v>
      </c>
      <c r="B17" s="4" t="s">
        <v>64</v>
      </c>
      <c r="C17" s="4" t="s">
        <v>65</v>
      </c>
      <c r="D17" s="4" t="s">
        <v>66</v>
      </c>
      <c r="E17" s="4" t="s">
        <v>67</v>
      </c>
      <c r="F17" s="4" t="s">
        <v>39</v>
      </c>
    </row>
    <row r="19" customFormat="false" ht="15" hidden="false" customHeight="false" outlineLevel="0" collapsed="false">
      <c r="A19" s="5" t="s">
        <v>68</v>
      </c>
    </row>
    <row r="20" customFormat="false" ht="15" hidden="false" customHeight="false" outlineLevel="0" collapsed="false">
      <c r="A20" s="2" t="s">
        <v>69</v>
      </c>
      <c r="B20" s="2" t="s">
        <v>70</v>
      </c>
      <c r="C20" s="2" t="s">
        <v>71</v>
      </c>
      <c r="D20" s="2" t="s">
        <v>72</v>
      </c>
      <c r="E20" s="2" t="s">
        <v>73</v>
      </c>
      <c r="F20" s="2" t="s">
        <v>74</v>
      </c>
      <c r="G20" s="2" t="s">
        <v>75</v>
      </c>
    </row>
    <row r="21" customFormat="false" ht="41.75" hidden="false" customHeight="false" outlineLevel="0" collapsed="false">
      <c r="A21" s="4" t="s">
        <v>76</v>
      </c>
      <c r="B21" s="4" t="s">
        <v>77</v>
      </c>
      <c r="C21" s="6" t="n">
        <f aca="false">'COO P&amp;L'!N16</f>
        <v>7423939.54333333</v>
      </c>
      <c r="D21" s="6" t="n">
        <f aca="false">'COO P&amp;L'!AG16</f>
        <v>15563645.5416667</v>
      </c>
      <c r="E21" s="6" t="n">
        <f aca="false">'COO P&amp;L'!AG16-('COO P&amp;L'!N16)</f>
        <v>8139705.99833333</v>
      </c>
      <c r="F21" s="4" t="str">
        <f aca="false">IF(OR('COO P&amp;L'!N16&lt;=0,'COO P&amp;L'!AG16&lt;0),"n/m",TEXT(('COO P&amp;L'!AG16-'COO P&amp;L'!N16)/'COO P&amp;L'!N16,"0%"))</f>
        <v>110%</v>
      </c>
      <c r="G21" s="6" t="n">
        <v>15563645.54</v>
      </c>
    </row>
    <row r="22" customFormat="false" ht="28.35" hidden="false" customHeight="false" outlineLevel="0" collapsed="false">
      <c r="A22" s="4" t="s">
        <v>78</v>
      </c>
      <c r="B22" s="4" t="s">
        <v>79</v>
      </c>
      <c r="C22" s="6" t="n">
        <f aca="false">'COO P&amp;L'!N63</f>
        <v>4478015.61476191</v>
      </c>
      <c r="D22" s="6" t="n">
        <f aca="false">'COO P&amp;L'!AG63</f>
        <v>11603613.8872221</v>
      </c>
      <c r="E22" s="6" t="n">
        <f aca="false">'COO P&amp;L'!AG63-('COO P&amp;L'!N63)</f>
        <v>7125598.27246015</v>
      </c>
      <c r="F22" s="4" t="str">
        <f aca="false">IF(OR('COO P&amp;L'!N63&lt;=0,'COO P&amp;L'!AG63&lt;0),"n/m",TEXT(('COO P&amp;L'!AG63-'COO P&amp;L'!N63)/'COO P&amp;L'!N63,"0%"))</f>
        <v>159%</v>
      </c>
      <c r="G22" s="6" t="n">
        <v>11603613.89</v>
      </c>
    </row>
    <row r="23" customFormat="false" ht="28.35" hidden="false" customHeight="false" outlineLevel="0" collapsed="false">
      <c r="A23" s="4" t="s">
        <v>80</v>
      </c>
      <c r="B23" s="4" t="s">
        <v>81</v>
      </c>
      <c r="C23" s="6" t="n">
        <f aca="false">SUM('COO P&amp;L'!N19:N22)</f>
        <v>1788096.52476191</v>
      </c>
      <c r="D23" s="6" t="n">
        <f aca="false">SUM('COO P&amp;L'!AG19:AG22)</f>
        <v>3423224.84246683</v>
      </c>
      <c r="E23" s="6" t="n">
        <f aca="false">SUM('COO P&amp;L'!AG19:AG22)-(SUM('COO P&amp;L'!N19:N22))</f>
        <v>1635128.31770493</v>
      </c>
      <c r="F23" s="4" t="str">
        <f aca="false">IF(OR(SUM('COO P&amp;L'!N19:N22)&lt;=0,SUM('COO P&amp;L'!AG19:AG22)&lt;0),"n/m",TEXT((SUM('COO P&amp;L'!AG19:AG22)-SUM('COO P&amp;L'!N19:N22))/SUM('COO P&amp;L'!N19:N22),"0%"))</f>
        <v>91%</v>
      </c>
      <c r="G23" s="6" t="n">
        <v>3423224.84</v>
      </c>
    </row>
    <row r="24" customFormat="false" ht="15" hidden="false" customHeight="false" outlineLevel="0" collapsed="false">
      <c r="A24" s="4" t="s">
        <v>82</v>
      </c>
      <c r="B24" s="4" t="s">
        <v>83</v>
      </c>
      <c r="C24" s="6" t="n">
        <f aca="false">'COO P&amp;L'!N64</f>
        <v>2945923.92857143</v>
      </c>
      <c r="D24" s="6" t="n">
        <f aca="false">'COO P&amp;L'!AG64</f>
        <v>3960031.65444462</v>
      </c>
      <c r="E24" s="6" t="n">
        <f aca="false">'COO P&amp;L'!AG64-('COO P&amp;L'!N64)</f>
        <v>1014107.72587319</v>
      </c>
      <c r="F24" s="4" t="str">
        <f aca="false">IF(OR('COO P&amp;L'!N64&lt;=0,'COO P&amp;L'!AG64&lt;0),"n/m",TEXT(('COO P&amp;L'!AG64-'COO P&amp;L'!N64)/'COO P&amp;L'!N64,"0%"))</f>
        <v>34%</v>
      </c>
      <c r="G24" s="6" t="n">
        <v>3960031.65</v>
      </c>
    </row>
    <row r="25" customFormat="false" ht="15" hidden="false" customHeight="false" outlineLevel="0" collapsed="false">
      <c r="A25" s="4" t="s">
        <v>84</v>
      </c>
      <c r="B25" s="4" t="s">
        <v>85</v>
      </c>
      <c r="C25" s="6" t="n">
        <f aca="false">'COO P&amp;L'!N116</f>
        <v>3929957.3</v>
      </c>
      <c r="D25" s="6" t="n">
        <f aca="false">'COO P&amp;L'!AG116</f>
        <v>3800895.25393599</v>
      </c>
      <c r="E25" s="6" t="n">
        <f aca="false">'COO P&amp;L'!AG116-('COO P&amp;L'!N116)</f>
        <v>-129062.04606401</v>
      </c>
      <c r="F25" s="4" t="str">
        <f aca="false">IF(OR('COO P&amp;L'!N116&lt;=0,'COO P&amp;L'!AG116&lt;0),"n/m",TEXT(('COO P&amp;L'!AG116-'COO P&amp;L'!N116)/'COO P&amp;L'!N116,"0%"))</f>
        <v>-3%</v>
      </c>
      <c r="G25" s="6" t="n">
        <v>3272596.54</v>
      </c>
    </row>
    <row r="26" customFormat="false" ht="55.2" hidden="false" customHeight="false" outlineLevel="0" collapsed="false">
      <c r="A26" s="4" t="s">
        <v>86</v>
      </c>
      <c r="B26" s="4" t="s">
        <v>87</v>
      </c>
      <c r="C26" s="6" t="n">
        <f aca="false">'COO P&amp;L'!N117</f>
        <v>-984033.371428571</v>
      </c>
      <c r="D26" s="6" t="n">
        <f aca="false">'COO P&amp;L'!AG117</f>
        <v>159136.400508629</v>
      </c>
      <c r="E26" s="6" t="n">
        <f aca="false">'COO P&amp;L'!AG117-('COO P&amp;L'!N117)</f>
        <v>1143169.7719372</v>
      </c>
      <c r="F26" s="4" t="str">
        <f aca="false">IF(OR('COO P&amp;L'!N117&lt;=0,'COO P&amp;L'!AG117&lt;0),"n/m",TEXT(('COO P&amp;L'!AG117-'COO P&amp;L'!N117)/'COO P&amp;L'!N117,"0%"))</f>
        <v>n/m</v>
      </c>
      <c r="G26" s="6" t="n">
        <v>687435.11</v>
      </c>
    </row>
    <row r="27" customFormat="false" ht="15" hidden="false" customHeight="false" outlineLevel="0" collapsed="false">
      <c r="A27" s="4" t="s">
        <v>88</v>
      </c>
      <c r="B27" s="4" t="s">
        <v>89</v>
      </c>
      <c r="C27" s="6" t="n">
        <f aca="false">'COO P&amp;L'!N131</f>
        <v>84811.32</v>
      </c>
      <c r="D27" s="6" t="n">
        <f aca="false">'COO P&amp;L'!AG131</f>
        <v>0</v>
      </c>
      <c r="E27" s="6" t="n">
        <f aca="false">'COO P&amp;L'!AG131-('COO P&amp;L'!N131)</f>
        <v>-84811.32</v>
      </c>
      <c r="F27" s="4" t="str">
        <f aca="false">IF(OR('COO P&amp;L'!N131&lt;=0,'COO P&amp;L'!AG131&lt;0),"n/m",TEXT(('COO P&amp;L'!AG131-'COO P&amp;L'!N131)/'COO P&amp;L'!N131,"0%"))</f>
        <v>-100%</v>
      </c>
      <c r="G27" s="6" t="n">
        <v>0</v>
      </c>
    </row>
    <row r="28" customFormat="false" ht="41.75" hidden="false" customHeight="false" outlineLevel="0" collapsed="false">
      <c r="A28" s="4" t="s">
        <v>90</v>
      </c>
      <c r="B28" s="4" t="s">
        <v>91</v>
      </c>
      <c r="C28" s="6" t="n">
        <f aca="false">'COO P&amp;L'!N132</f>
        <v>-899222.051428571</v>
      </c>
      <c r="D28" s="6" t="n">
        <f aca="false">'COO P&amp;L'!AG132</f>
        <v>159136.400508629</v>
      </c>
      <c r="E28" s="6" t="n">
        <f aca="false">'COO P&amp;L'!AG132-('COO P&amp;L'!N132)</f>
        <v>1058358.4519372</v>
      </c>
      <c r="F28" s="4" t="str">
        <f aca="false">IF(OR('COO P&amp;L'!N132&lt;=0,'COO P&amp;L'!AG132&lt;0),"n/m",TEXT(('COO P&amp;L'!AG132-'COO P&amp;L'!N132)/'COO P&amp;L'!N132,"0%"))</f>
        <v>n/m</v>
      </c>
      <c r="G28" s="6" t="n">
        <v>687435.11</v>
      </c>
    </row>
    <row r="30" customFormat="false" ht="15" hidden="false" customHeight="false" outlineLevel="0" collapsed="false">
      <c r="A30" s="2" t="s">
        <v>92</v>
      </c>
    </row>
    <row r="31" customFormat="false" ht="15" hidden="false" customHeight="false" outlineLevel="0" collapsed="false">
      <c r="A31" s="3" t="s">
        <v>93</v>
      </c>
    </row>
    <row r="32" customFormat="false" ht="15" hidden="false" customHeight="false" outlineLevel="0" collapsed="false">
      <c r="A32" s="3" t="s">
        <v>94</v>
      </c>
    </row>
    <row r="33" customFormat="false" ht="15" hidden="false" customHeight="false" outlineLevel="0" collapsed="false">
      <c r="A33" s="3" t="s">
        <v>95</v>
      </c>
    </row>
    <row r="34" customFormat="false" ht="15" hidden="false" customHeight="false" outlineLevel="0" collapsed="false">
      <c r="A34" s="3" t="s">
        <v>96</v>
      </c>
    </row>
    <row r="35" customFormat="false" ht="15" hidden="false" customHeight="false" outlineLevel="0" collapsed="false">
      <c r="A35" s="3" t="s">
        <v>97</v>
      </c>
    </row>
    <row r="36" customFormat="false" ht="15" hidden="false" customHeight="false" outlineLevel="0" collapsed="false">
      <c r="A36" s="2" t="s">
        <v>98</v>
      </c>
      <c r="B36" s="2" t="s">
        <v>99</v>
      </c>
      <c r="C36" s="2" t="s">
        <v>100</v>
      </c>
      <c r="D36" s="2" t="s">
        <v>101</v>
      </c>
      <c r="E36" s="2" t="s">
        <v>102</v>
      </c>
      <c r="F36" s="2" t="s">
        <v>103</v>
      </c>
    </row>
    <row r="37" customFormat="false" ht="122.35" hidden="false" customHeight="false" outlineLevel="0" collapsed="false">
      <c r="A37" s="4" t="s">
        <v>104</v>
      </c>
      <c r="B37" s="4" t="s">
        <v>105</v>
      </c>
      <c r="C37" s="4" t="s">
        <v>106</v>
      </c>
      <c r="D37" s="6" t="n">
        <v>-558996.25</v>
      </c>
      <c r="E37" s="6" t="n">
        <v>-399859.85</v>
      </c>
      <c r="F37" s="4" t="s">
        <v>107</v>
      </c>
    </row>
    <row r="38" customFormat="false" ht="108.95" hidden="false" customHeight="false" outlineLevel="0" collapsed="false">
      <c r="A38" s="4" t="s">
        <v>108</v>
      </c>
      <c r="B38" s="4" t="s">
        <v>105</v>
      </c>
      <c r="C38" s="4" t="s">
        <v>109</v>
      </c>
      <c r="D38" s="6" t="n">
        <v>-126908.44</v>
      </c>
      <c r="E38" s="6" t="n">
        <v>32227.96</v>
      </c>
      <c r="F38" s="4" t="s">
        <v>110</v>
      </c>
    </row>
    <row r="39" customFormat="false" ht="68.65" hidden="false" customHeight="false" outlineLevel="0" collapsed="false">
      <c r="A39" s="4" t="s">
        <v>111</v>
      </c>
      <c r="B39" s="4" t="s">
        <v>105</v>
      </c>
      <c r="C39" s="4" t="s">
        <v>112</v>
      </c>
      <c r="D39" s="6" t="n">
        <v>-60695.09</v>
      </c>
      <c r="E39" s="6" t="n">
        <v>98441.31</v>
      </c>
      <c r="F39" s="4" t="s">
        <v>113</v>
      </c>
    </row>
    <row r="40" customFormat="false" ht="135.8" hidden="false" customHeight="false" outlineLevel="0" collapsed="false">
      <c r="A40" s="4" t="s">
        <v>114</v>
      </c>
      <c r="B40" s="4" t="s">
        <v>115</v>
      </c>
      <c r="C40" s="4" t="s">
        <v>116</v>
      </c>
      <c r="D40" s="6" t="n">
        <v>104416.68</v>
      </c>
      <c r="E40" s="6" t="n">
        <v>263553.08</v>
      </c>
      <c r="F40" s="4" t="s">
        <v>117</v>
      </c>
    </row>
    <row r="41" customFormat="false" ht="135.8" hidden="false" customHeight="false" outlineLevel="0" collapsed="false">
      <c r="A41" s="4" t="s">
        <v>118</v>
      </c>
      <c r="B41" s="4" t="s">
        <v>105</v>
      </c>
      <c r="C41" s="4" t="s">
        <v>119</v>
      </c>
      <c r="D41" s="6" t="n">
        <v>-72060.6</v>
      </c>
      <c r="E41" s="6" t="n">
        <v>87075.8</v>
      </c>
      <c r="F41" s="4" t="s">
        <v>120</v>
      </c>
    </row>
    <row r="42" customFormat="false" ht="135.8" hidden="false" customHeight="false" outlineLevel="0" collapsed="false">
      <c r="A42" s="4" t="s">
        <v>121</v>
      </c>
      <c r="B42" s="4" t="s">
        <v>115</v>
      </c>
      <c r="C42" s="4" t="s">
        <v>122</v>
      </c>
      <c r="D42" s="6" t="n">
        <v>2821.18</v>
      </c>
      <c r="E42" s="6" t="n">
        <v>161957.58</v>
      </c>
      <c r="F42" s="4" t="s">
        <v>123</v>
      </c>
    </row>
    <row r="43" customFormat="false" ht="82.05" hidden="false" customHeight="false" outlineLevel="0" collapsed="false">
      <c r="A43" s="4" t="s">
        <v>124</v>
      </c>
      <c r="B43" s="4" t="s">
        <v>115</v>
      </c>
      <c r="C43" s="4" t="s">
        <v>125</v>
      </c>
      <c r="D43" s="6" t="n">
        <v>19395.91</v>
      </c>
      <c r="E43" s="6" t="n">
        <v>178532.31</v>
      </c>
      <c r="F43" s="4" t="s">
        <v>126</v>
      </c>
    </row>
    <row r="44" customFormat="false" ht="55.2" hidden="false" customHeight="false" outlineLevel="0" collapsed="false">
      <c r="A44" s="4" t="s">
        <v>127</v>
      </c>
      <c r="B44" s="4" t="s">
        <v>115</v>
      </c>
      <c r="C44" s="4" t="s">
        <v>128</v>
      </c>
      <c r="D44" s="4" t="s">
        <v>129</v>
      </c>
      <c r="E44" s="4" t="s">
        <v>130</v>
      </c>
      <c r="F44" s="4" t="s">
        <v>131</v>
      </c>
    </row>
    <row r="45" customFormat="false" ht="149.25" hidden="false" customHeight="false" outlineLevel="0" collapsed="false">
      <c r="A45" s="4" t="s">
        <v>132</v>
      </c>
      <c r="B45" s="4" t="s">
        <v>105</v>
      </c>
      <c r="C45" s="4" t="s">
        <v>133</v>
      </c>
      <c r="D45" s="6" t="n">
        <v>-5715.33</v>
      </c>
      <c r="E45" s="6" t="n">
        <v>153421.07</v>
      </c>
      <c r="F45" s="4" t="s">
        <v>134</v>
      </c>
    </row>
    <row r="46" customFormat="false" ht="189.55" hidden="false" customHeight="false" outlineLevel="0" collapsed="false">
      <c r="A46" s="4" t="s">
        <v>135</v>
      </c>
      <c r="B46" s="4" t="s">
        <v>105</v>
      </c>
      <c r="C46" s="4" t="s">
        <v>136</v>
      </c>
      <c r="D46" s="6" t="n">
        <v>-898.65</v>
      </c>
      <c r="E46" s="6" t="n">
        <v>158237.75</v>
      </c>
      <c r="F46" s="4" t="s">
        <v>137</v>
      </c>
    </row>
    <row r="47" customFormat="false" ht="95.5" hidden="false" customHeight="false" outlineLevel="0" collapsed="false">
      <c r="A47" s="4" t="s">
        <v>138</v>
      </c>
      <c r="B47" s="4" t="s">
        <v>139</v>
      </c>
      <c r="C47" s="4" t="s">
        <v>140</v>
      </c>
      <c r="D47" s="4" t="s">
        <v>141</v>
      </c>
      <c r="E47" s="6" t="n">
        <v>159136.4</v>
      </c>
      <c r="F47" s="4" t="s">
        <v>142</v>
      </c>
    </row>
    <row r="48" customFormat="false" ht="55.2" hidden="false" customHeight="false" outlineLevel="0" collapsed="false">
      <c r="A48" s="4" t="s">
        <v>143</v>
      </c>
      <c r="B48" s="4" t="s">
        <v>105</v>
      </c>
      <c r="C48" s="4" t="s">
        <v>144</v>
      </c>
      <c r="D48" s="6" t="n">
        <v>-384424.9</v>
      </c>
      <c r="E48" s="6" t="n">
        <v>-225288.5</v>
      </c>
      <c r="F48" s="4" t="s">
        <v>145</v>
      </c>
    </row>
    <row r="49" customFormat="false" ht="82.05" hidden="false" customHeight="false" outlineLevel="0" collapsed="false">
      <c r="A49" s="4" t="s">
        <v>146</v>
      </c>
      <c r="B49" s="4" t="s">
        <v>139</v>
      </c>
      <c r="C49" s="4" t="s">
        <v>147</v>
      </c>
      <c r="D49" s="4" t="s">
        <v>141</v>
      </c>
      <c r="E49" s="6" t="n">
        <v>159136.4</v>
      </c>
      <c r="F49" s="4" t="s">
        <v>148</v>
      </c>
    </row>
    <row r="50" customFormat="false" ht="108.95" hidden="false" customHeight="false" outlineLevel="0" collapsed="false">
      <c r="A50" s="4" t="s">
        <v>48</v>
      </c>
      <c r="B50" s="4" t="s">
        <v>115</v>
      </c>
      <c r="C50" s="4" t="s">
        <v>149</v>
      </c>
      <c r="D50" s="6" t="n">
        <v>78529.08</v>
      </c>
      <c r="E50" s="6" t="n">
        <v>237665.48</v>
      </c>
      <c r="F50" s="4" t="s">
        <v>150</v>
      </c>
    </row>
    <row r="51" customFormat="false" ht="41.75" hidden="false" customHeight="false" outlineLevel="0" collapsed="false">
      <c r="A51" s="4" t="s">
        <v>48</v>
      </c>
      <c r="B51" s="4" t="s">
        <v>115</v>
      </c>
      <c r="C51" s="4" t="s">
        <v>151</v>
      </c>
      <c r="D51" s="6" t="n">
        <v>93093</v>
      </c>
      <c r="E51" s="6" t="n">
        <v>252229.4</v>
      </c>
      <c r="F51" s="4" t="s">
        <v>152</v>
      </c>
    </row>
    <row r="52" customFormat="false" ht="28.35" hidden="false" customHeight="false" outlineLevel="0" collapsed="false">
      <c r="A52" s="4" t="s">
        <v>24</v>
      </c>
      <c r="B52" s="4" t="s">
        <v>153</v>
      </c>
      <c r="C52" s="4" t="s">
        <v>154</v>
      </c>
      <c r="D52" s="6" t="n">
        <v>-39057.14</v>
      </c>
      <c r="E52" s="6" t="n">
        <v>120079.26</v>
      </c>
      <c r="F52" s="4" t="s">
        <v>155</v>
      </c>
    </row>
    <row r="53" customFormat="false" ht="68.65" hidden="false" customHeight="false" outlineLevel="0" collapsed="false">
      <c r="A53" s="4" t="s">
        <v>24</v>
      </c>
      <c r="B53" s="4" t="s">
        <v>153</v>
      </c>
      <c r="C53" s="4" t="s">
        <v>156</v>
      </c>
      <c r="D53" s="6" t="n">
        <v>37457.14</v>
      </c>
      <c r="E53" s="6" t="n">
        <v>196593.54</v>
      </c>
      <c r="F53" s="4" t="s">
        <v>157</v>
      </c>
    </row>
    <row r="54" customFormat="false" ht="28.35" hidden="false" customHeight="false" outlineLevel="0" collapsed="false">
      <c r="A54" s="4" t="s">
        <v>18</v>
      </c>
      <c r="B54" s="4" t="s">
        <v>115</v>
      </c>
      <c r="C54" s="4" t="s">
        <v>158</v>
      </c>
      <c r="D54" s="6" t="n">
        <v>1353574.2</v>
      </c>
      <c r="E54" s="6" t="n">
        <v>1512710.6</v>
      </c>
      <c r="F54" s="4" t="s">
        <v>159</v>
      </c>
    </row>
    <row r="55" customFormat="false" ht="41.75" hidden="false" customHeight="false" outlineLevel="0" collapsed="false">
      <c r="A55" s="4" t="s">
        <v>18</v>
      </c>
      <c r="B55" s="4" t="s">
        <v>115</v>
      </c>
      <c r="C55" s="4" t="s">
        <v>160</v>
      </c>
      <c r="D55" s="6" t="n">
        <v>276163.88</v>
      </c>
      <c r="E55" s="6" t="n">
        <v>435300.28</v>
      </c>
      <c r="F55" s="4" t="s">
        <v>161</v>
      </c>
    </row>
    <row r="56" customFormat="false" ht="68.65" hidden="false" customHeight="false" outlineLevel="0" collapsed="false">
      <c r="A56" s="4" t="s">
        <v>18</v>
      </c>
      <c r="B56" s="4" t="s">
        <v>115</v>
      </c>
      <c r="C56" s="4" t="s">
        <v>162</v>
      </c>
      <c r="D56" s="6" t="n">
        <v>403624.13</v>
      </c>
      <c r="E56" s="6" t="n">
        <v>562760.53</v>
      </c>
      <c r="F56" s="4" t="s">
        <v>161</v>
      </c>
    </row>
    <row r="57" customFormat="false" ht="28.35" hidden="false" customHeight="false" outlineLevel="0" collapsed="false">
      <c r="A57" s="4" t="s">
        <v>30</v>
      </c>
      <c r="B57" s="4" t="s">
        <v>153</v>
      </c>
      <c r="C57" s="4" t="s">
        <v>163</v>
      </c>
      <c r="D57" s="6" t="n">
        <v>-25534.29</v>
      </c>
      <c r="E57" s="6" t="n">
        <v>133602.11</v>
      </c>
      <c r="F57" s="4" t="s">
        <v>164</v>
      </c>
    </row>
    <row r="58" customFormat="false" ht="41.75" hidden="false" customHeight="false" outlineLevel="0" collapsed="false">
      <c r="A58" s="4" t="s">
        <v>54</v>
      </c>
      <c r="B58" s="4" t="s">
        <v>115</v>
      </c>
      <c r="C58" s="4" t="s">
        <v>165</v>
      </c>
      <c r="D58" s="6" t="n">
        <v>109538.77</v>
      </c>
      <c r="E58" s="6" t="n">
        <v>268675.17</v>
      </c>
      <c r="F58" s="4" t="s">
        <v>166</v>
      </c>
    </row>
    <row r="59" customFormat="false" ht="68.65" hidden="false" customHeight="false" outlineLevel="0" collapsed="false">
      <c r="A59" s="4" t="s">
        <v>167</v>
      </c>
      <c r="B59" s="4" t="s">
        <v>115</v>
      </c>
      <c r="C59" s="4" t="s">
        <v>168</v>
      </c>
      <c r="D59" s="6" t="n">
        <v>76599.61</v>
      </c>
      <c r="E59" s="6" t="n">
        <v>235736.01</v>
      </c>
      <c r="F59" s="4" t="s">
        <v>169</v>
      </c>
    </row>
    <row r="60" customFormat="false" ht="82.05" hidden="false" customHeight="false" outlineLevel="0" collapsed="false">
      <c r="A60" s="4" t="s">
        <v>170</v>
      </c>
      <c r="B60" s="4" t="s">
        <v>105</v>
      </c>
      <c r="C60" s="4" t="s">
        <v>171</v>
      </c>
      <c r="D60" s="6" t="n">
        <v>-62207.37</v>
      </c>
      <c r="E60" s="6" t="n">
        <v>96929.03</v>
      </c>
      <c r="F60" s="4" t="s">
        <v>172</v>
      </c>
    </row>
    <row r="61" customFormat="false" ht="41.75" hidden="false" customHeight="false" outlineLevel="0" collapsed="false">
      <c r="A61" s="4" t="s">
        <v>170</v>
      </c>
      <c r="B61" s="4" t="s">
        <v>105</v>
      </c>
      <c r="C61" s="4" t="s">
        <v>173</v>
      </c>
      <c r="D61" s="6" t="n">
        <v>-34169.28</v>
      </c>
      <c r="E61" s="6" t="n">
        <v>124967.12</v>
      </c>
      <c r="F61" s="4" t="s">
        <v>174</v>
      </c>
    </row>
    <row r="62" customFormat="false" ht="55.2" hidden="false" customHeight="false" outlineLevel="0" collapsed="false">
      <c r="A62" s="4" t="s">
        <v>59</v>
      </c>
      <c r="B62" s="4" t="s">
        <v>115</v>
      </c>
      <c r="C62" s="4" t="s">
        <v>175</v>
      </c>
      <c r="D62" s="6" t="n">
        <v>254784.73</v>
      </c>
      <c r="E62" s="6" t="n">
        <v>413921.13</v>
      </c>
      <c r="F62" s="4" t="s">
        <v>176</v>
      </c>
    </row>
    <row r="63" customFormat="false" ht="28.35" hidden="false" customHeight="false" outlineLevel="0" collapsed="false">
      <c r="A63" s="4" t="s">
        <v>177</v>
      </c>
      <c r="B63" s="4" t="s">
        <v>115</v>
      </c>
      <c r="C63" s="4" t="s">
        <v>178</v>
      </c>
      <c r="D63" s="6" t="n">
        <v>33967.27</v>
      </c>
      <c r="E63" s="6" t="n">
        <v>193103.67</v>
      </c>
      <c r="F63" s="4" t="s">
        <v>179</v>
      </c>
    </row>
    <row r="64" customFormat="false" ht="68.65" hidden="false" customHeight="false" outlineLevel="0" collapsed="false">
      <c r="A64" s="4" t="s">
        <v>180</v>
      </c>
      <c r="B64" s="4" t="s">
        <v>115</v>
      </c>
      <c r="C64" s="4" t="s">
        <v>181</v>
      </c>
      <c r="D64" s="6" t="n">
        <v>173773.6</v>
      </c>
      <c r="E64" s="6" t="n">
        <v>332910</v>
      </c>
      <c r="F64" s="4" t="s">
        <v>182</v>
      </c>
    </row>
    <row r="65" customFormat="false" ht="41.75" hidden="false" customHeight="false" outlineLevel="0" collapsed="false">
      <c r="A65" s="4" t="s">
        <v>183</v>
      </c>
      <c r="B65" s="4" t="s">
        <v>115</v>
      </c>
      <c r="C65" s="4" t="s">
        <v>184</v>
      </c>
      <c r="D65" s="6" t="n">
        <v>147903.28</v>
      </c>
      <c r="E65" s="6" t="n">
        <v>307039.68</v>
      </c>
      <c r="F65" s="4" t="s">
        <v>185</v>
      </c>
    </row>
    <row r="66" customFormat="false" ht="28.35" hidden="false" customHeight="false" outlineLevel="0" collapsed="false">
      <c r="A66" s="4" t="s">
        <v>183</v>
      </c>
      <c r="B66" s="4" t="s">
        <v>115</v>
      </c>
      <c r="C66" s="4" t="s">
        <v>186</v>
      </c>
      <c r="D66" s="6" t="n">
        <v>295806.56</v>
      </c>
      <c r="E66" s="6" t="n">
        <v>454942.96</v>
      </c>
      <c r="F66" s="4" t="s">
        <v>187</v>
      </c>
    </row>
    <row r="67" customFormat="false" ht="55.2" hidden="false" customHeight="false" outlineLevel="0" collapsed="false">
      <c r="A67" s="4" t="s">
        <v>188</v>
      </c>
      <c r="B67" s="4" t="s">
        <v>105</v>
      </c>
      <c r="C67" s="4" t="s">
        <v>189</v>
      </c>
      <c r="D67" s="4" t="s">
        <v>190</v>
      </c>
      <c r="E67" s="4" t="s">
        <v>190</v>
      </c>
      <c r="F67" s="4" t="s">
        <v>191</v>
      </c>
    </row>
    <row r="68" customFormat="false" ht="15" hidden="false" customHeight="false" outlineLevel="0" collapsed="false">
      <c r="A68" s="2" t="s">
        <v>192</v>
      </c>
    </row>
    <row r="69" customFormat="false" ht="15" hidden="false" customHeight="false" outlineLevel="0" collapsed="false">
      <c r="A69" s="2" t="s">
        <v>193</v>
      </c>
    </row>
    <row r="70" customFormat="false" ht="15" hidden="false" customHeight="false" outlineLevel="0" collapsed="false">
      <c r="A70" s="2" t="s">
        <v>194</v>
      </c>
    </row>
    <row r="71" customFormat="false" ht="15" hidden="false" customHeight="false" outlineLevel="0" collapsed="false">
      <c r="A71" s="2" t="s">
        <v>195</v>
      </c>
    </row>
    <row r="72" customFormat="false" ht="15" hidden="false" customHeight="false" outlineLevel="0" collapsed="false">
      <c r="A72" s="2" t="s">
        <v>196</v>
      </c>
    </row>
    <row r="74" customFormat="false" ht="15" hidden="false" customHeight="false" outlineLevel="0" collapsed="false">
      <c r="A74" s="5" t="s">
        <v>197</v>
      </c>
    </row>
    <row r="75" customFormat="false" ht="15" hidden="false" customHeight="false" outlineLevel="0" collapsed="false">
      <c r="A75" s="3" t="s">
        <v>198</v>
      </c>
    </row>
    <row r="76" customFormat="false" ht="15" hidden="false" customHeight="false" outlineLevel="0" collapsed="false">
      <c r="A76" s="3" t="s">
        <v>199</v>
      </c>
    </row>
    <row r="77" customFormat="false" ht="15" hidden="false" customHeight="false" outlineLevel="0" collapsed="false">
      <c r="A77" s="2" t="s">
        <v>200</v>
      </c>
      <c r="B77" s="2" t="s">
        <v>201</v>
      </c>
      <c r="C77" s="2" t="s">
        <v>202</v>
      </c>
      <c r="D77" s="2" t="s">
        <v>203</v>
      </c>
      <c r="E77" s="2" t="s">
        <v>204</v>
      </c>
      <c r="F77" s="2" t="s">
        <v>205</v>
      </c>
      <c r="G77" s="2" t="s">
        <v>206</v>
      </c>
      <c r="H77" s="2" t="s">
        <v>207</v>
      </c>
    </row>
    <row r="78" customFormat="false" ht="28.35" hidden="false" customHeight="false" outlineLevel="0" collapsed="false">
      <c r="A78" s="4" t="s">
        <v>208</v>
      </c>
      <c r="B78" s="6" t="n">
        <v>528451.89</v>
      </c>
      <c r="C78" s="6" t="n">
        <v>528451.89</v>
      </c>
      <c r="D78" s="6" t="n">
        <v>110825</v>
      </c>
      <c r="E78" s="6" t="n">
        <v>324393.2</v>
      </c>
      <c r="F78" s="6" t="n">
        <v>963670.08</v>
      </c>
      <c r="G78" s="6" t="n">
        <v>435218.2</v>
      </c>
      <c r="H78" s="6" t="n">
        <f aca="false">CO!AG67-'HC-CO'!Z67-('Logistics&amp;WH Payroll'!S43-'Logistics&amp;WH Payroll'!S34+'Logistics&amp;WH Payroll'!S46)</f>
        <v>0</v>
      </c>
    </row>
    <row r="79" customFormat="false" ht="15" hidden="false" customHeight="false" outlineLevel="0" collapsed="false">
      <c r="A79" s="4" t="s">
        <v>209</v>
      </c>
      <c r="B79" s="6" t="n">
        <v>27592.88</v>
      </c>
      <c r="C79" s="6" t="n">
        <v>27592.88</v>
      </c>
      <c r="D79" s="6" t="n">
        <v>5786.68</v>
      </c>
      <c r="E79" s="6" t="n">
        <v>21718.74</v>
      </c>
      <c r="F79" s="6" t="n">
        <v>55098.3</v>
      </c>
      <c r="G79" s="6" t="n">
        <v>27505.42</v>
      </c>
      <c r="H79" s="6" t="n">
        <f aca="false">CO!AG68-'HC-CO'!Z68-('Logistics&amp;WH Payroll'!S44-'Logistics&amp;WH Payroll'!S34*'Logistics&amp;WH Payroll'!$B$5)</f>
        <v>0</v>
      </c>
    </row>
    <row r="80" customFormat="false" ht="15" hidden="false" customHeight="false" outlineLevel="0" collapsed="false">
      <c r="A80" s="4" t="s">
        <v>210</v>
      </c>
      <c r="B80" s="6" t="n">
        <v>62916.45</v>
      </c>
      <c r="C80" s="6" t="n">
        <v>62916.45</v>
      </c>
      <c r="D80" s="6" t="n">
        <v>13194.61</v>
      </c>
      <c r="E80" s="6" t="n">
        <v>52380.48</v>
      </c>
      <c r="F80" s="6" t="n">
        <v>128491.55</v>
      </c>
      <c r="G80" s="6" t="n">
        <v>65575.09</v>
      </c>
      <c r="H80" s="6" t="n">
        <f aca="false">CO!AG69-'HC-CO'!Z69-('Logistics&amp;WH Payroll'!S45-'Logistics&amp;WH Payroll'!S34*'Logistics&amp;WH Payroll'!$B$6)</f>
        <v>0</v>
      </c>
    </row>
    <row r="81" customFormat="false" ht="15" hidden="false" customHeight="false" outlineLevel="0" collapsed="false">
      <c r="A81" s="4" t="s">
        <v>211</v>
      </c>
      <c r="B81" s="6" t="n">
        <v>618961.22</v>
      </c>
      <c r="C81" s="6" t="n">
        <v>618961.22</v>
      </c>
      <c r="D81" s="6" t="n">
        <v>129806.29</v>
      </c>
      <c r="E81" s="6" t="n">
        <v>398492.42</v>
      </c>
      <c r="F81" s="6" t="n">
        <v>1147259.93</v>
      </c>
      <c r="G81" s="6" t="n">
        <v>528298.71</v>
      </c>
      <c r="H81" s="6" t="n">
        <f aca="false">SUM(H78:H80)</f>
        <v>0</v>
      </c>
    </row>
    <row r="83" customFormat="false" ht="15" hidden="false" customHeight="false" outlineLevel="0" collapsed="false">
      <c r="A83" s="5" t="s">
        <v>212</v>
      </c>
    </row>
    <row r="84" customFormat="false" ht="15" hidden="false" customHeight="false" outlineLevel="0" collapsed="false">
      <c r="A84" s="2" t="s">
        <v>213</v>
      </c>
      <c r="B84" s="2" t="s">
        <v>214</v>
      </c>
      <c r="C84" s="2" t="s">
        <v>215</v>
      </c>
      <c r="D84" s="2" t="s">
        <v>216</v>
      </c>
      <c r="E84" s="2" t="s">
        <v>217</v>
      </c>
      <c r="F84" s="2" t="s">
        <v>218</v>
      </c>
      <c r="G84" s="2" t="s">
        <v>219</v>
      </c>
    </row>
    <row r="85" customFormat="false" ht="55.2" hidden="false" customHeight="false" outlineLevel="0" collapsed="false">
      <c r="A85" s="4" t="s">
        <v>220</v>
      </c>
      <c r="B85" s="4" t="s">
        <v>221</v>
      </c>
      <c r="C85" s="4" t="s">
        <v>222</v>
      </c>
      <c r="D85" s="6" t="n">
        <v>120000</v>
      </c>
      <c r="E85" s="6" t="n">
        <v>120900</v>
      </c>
      <c r="F85" s="6" t="n">
        <v>148948.8</v>
      </c>
      <c r="G85" s="4" t="s">
        <v>223</v>
      </c>
    </row>
    <row r="86" customFormat="false" ht="28.35" hidden="false" customHeight="false" outlineLevel="0" collapsed="false">
      <c r="A86" s="4" t="s">
        <v>224</v>
      </c>
      <c r="B86" s="4" t="s">
        <v>225</v>
      </c>
      <c r="C86" s="4" t="s">
        <v>226</v>
      </c>
      <c r="D86" s="6" t="n">
        <v>48000</v>
      </c>
      <c r="E86" s="6" t="n">
        <v>44360</v>
      </c>
      <c r="F86" s="6" t="n">
        <v>55651.52</v>
      </c>
      <c r="G86" s="4" t="s">
        <v>227</v>
      </c>
    </row>
    <row r="87" customFormat="false" ht="41.75" hidden="false" customHeight="false" outlineLevel="0" collapsed="false">
      <c r="A87" s="4" t="s">
        <v>228</v>
      </c>
      <c r="B87" s="4" t="s">
        <v>229</v>
      </c>
      <c r="C87" s="4" t="s">
        <v>230</v>
      </c>
      <c r="D87" s="6" t="n">
        <v>52000</v>
      </c>
      <c r="E87" s="6" t="n">
        <v>52390</v>
      </c>
      <c r="F87" s="6" t="n">
        <v>64544.48</v>
      </c>
      <c r="G87" s="4" t="s">
        <v>231</v>
      </c>
    </row>
    <row r="88" customFormat="false" ht="41.75" hidden="false" customHeight="false" outlineLevel="0" collapsed="false">
      <c r="A88" s="4" t="s">
        <v>232</v>
      </c>
      <c r="B88" s="4" t="s">
        <v>233</v>
      </c>
      <c r="C88" s="4" t="s">
        <v>234</v>
      </c>
      <c r="D88" s="6" t="n">
        <v>52000</v>
      </c>
      <c r="E88" s="6" t="n">
        <v>26000</v>
      </c>
      <c r="F88" s="6" t="n">
        <v>33032</v>
      </c>
      <c r="G88" s="4" t="s">
        <v>227</v>
      </c>
    </row>
    <row r="89" customFormat="false" ht="41.75" hidden="false" customHeight="false" outlineLevel="0" collapsed="false">
      <c r="A89" s="4" t="s">
        <v>235</v>
      </c>
      <c r="B89" s="4" t="s">
        <v>229</v>
      </c>
      <c r="C89" s="4" t="s">
        <v>222</v>
      </c>
      <c r="D89" s="6" t="n">
        <v>49920</v>
      </c>
      <c r="E89" s="6" t="n">
        <v>50294.4</v>
      </c>
      <c r="F89" s="6" t="n">
        <v>61962.7</v>
      </c>
      <c r="G89" s="4" t="s">
        <v>236</v>
      </c>
    </row>
    <row r="90" customFormat="false" ht="28.35" hidden="false" customHeight="false" outlineLevel="0" collapsed="false">
      <c r="A90" s="4" t="s">
        <v>237</v>
      </c>
      <c r="B90" s="4" t="s">
        <v>229</v>
      </c>
      <c r="C90" s="4" t="s">
        <v>238</v>
      </c>
      <c r="D90" s="6" t="n">
        <v>49920</v>
      </c>
      <c r="E90" s="6" t="n">
        <v>50294.4</v>
      </c>
      <c r="F90" s="6" t="n">
        <v>61962.7</v>
      </c>
      <c r="G90" s="4" t="s">
        <v>239</v>
      </c>
    </row>
    <row r="91" customFormat="false" ht="28.35" hidden="false" customHeight="false" outlineLevel="0" collapsed="false">
      <c r="A91" s="4" t="s">
        <v>240</v>
      </c>
      <c r="B91" s="4" t="s">
        <v>229</v>
      </c>
      <c r="C91" s="4" t="s">
        <v>234</v>
      </c>
      <c r="D91" s="6" t="n">
        <v>49920</v>
      </c>
      <c r="E91" s="6" t="n">
        <v>24960</v>
      </c>
      <c r="F91" s="6" t="n">
        <v>31750.72</v>
      </c>
      <c r="G91" s="4" t="s">
        <v>227</v>
      </c>
    </row>
    <row r="92" customFormat="false" ht="41.75" hidden="false" customHeight="false" outlineLevel="0" collapsed="false">
      <c r="A92" s="4" t="s">
        <v>241</v>
      </c>
      <c r="B92" s="4" t="s">
        <v>233</v>
      </c>
      <c r="C92" s="4" t="s">
        <v>242</v>
      </c>
      <c r="D92" s="6" t="n">
        <v>49920</v>
      </c>
      <c r="E92" s="6" t="n">
        <v>41974.4</v>
      </c>
      <c r="F92" s="6" t="n">
        <v>52712.46</v>
      </c>
      <c r="G92" s="4" t="s">
        <v>227</v>
      </c>
    </row>
    <row r="93" customFormat="false" ht="41.75" hidden="false" customHeight="false" outlineLevel="0" collapsed="false">
      <c r="A93" s="4" t="s">
        <v>243</v>
      </c>
      <c r="B93" s="4" t="s">
        <v>233</v>
      </c>
      <c r="C93" s="4" t="s">
        <v>244</v>
      </c>
      <c r="D93" s="6" t="n">
        <v>49920</v>
      </c>
      <c r="E93" s="6" t="n">
        <v>29120</v>
      </c>
      <c r="F93" s="6" t="n">
        <v>36875.84</v>
      </c>
      <c r="G93" s="4" t="s">
        <v>227</v>
      </c>
    </row>
    <row r="94" customFormat="false" ht="28.35" hidden="false" customHeight="false" outlineLevel="0" collapsed="false">
      <c r="A94" s="4" t="s">
        <v>245</v>
      </c>
      <c r="B94" s="4"/>
      <c r="C94" s="4"/>
      <c r="D94" s="4"/>
      <c r="E94" s="6" t="n">
        <v>319393.2</v>
      </c>
      <c r="F94" s="6" t="n">
        <v>398492.42</v>
      </c>
      <c r="G94" s="4" t="s">
        <v>246</v>
      </c>
    </row>
    <row r="95" customFormat="false" ht="28.35" hidden="false" customHeight="false" outlineLevel="0" collapsed="false">
      <c r="A95" s="4" t="s">
        <v>247</v>
      </c>
      <c r="B95" s="4"/>
      <c r="C95" s="4"/>
      <c r="D95" s="4"/>
      <c r="E95" s="6" t="n">
        <v>440293.2</v>
      </c>
      <c r="F95" s="6" t="n">
        <v>547441.22</v>
      </c>
      <c r="G95" s="4" t="s">
        <v>248</v>
      </c>
    </row>
    <row r="97" customFormat="false" ht="15" hidden="false" customHeight="false" outlineLevel="0" collapsed="false">
      <c r="A97" s="5" t="s">
        <v>249</v>
      </c>
    </row>
    <row r="98" customFormat="false" ht="15" hidden="false" customHeight="false" outlineLevel="0" collapsed="false">
      <c r="A98" s="3" t="s">
        <v>250</v>
      </c>
    </row>
    <row r="99" customFormat="false" ht="15" hidden="false" customHeight="false" outlineLevel="0" collapsed="false">
      <c r="A99" s="3" t="s">
        <v>251</v>
      </c>
    </row>
    <row r="100" customFormat="false" ht="15" hidden="false" customHeight="false" outlineLevel="0" collapsed="false">
      <c r="A100" s="3" t="s">
        <v>252</v>
      </c>
    </row>
    <row r="101" customFormat="false" ht="15" hidden="false" customHeight="false" outlineLevel="0" collapsed="false">
      <c r="A101" s="3" t="s">
        <v>253</v>
      </c>
    </row>
    <row r="102" customFormat="false" ht="15" hidden="false" customHeight="false" outlineLevel="0" collapsed="false">
      <c r="A102" s="3" t="s">
        <v>254</v>
      </c>
    </row>
    <row r="103" customFormat="false" ht="15" hidden="false" customHeight="false" outlineLevel="0" collapsed="false">
      <c r="A103" s="3" t="s">
        <v>255</v>
      </c>
    </row>
    <row r="105" customFormat="false" ht="15" hidden="false" customHeight="false" outlineLevel="0" collapsed="false">
      <c r="A105" s="5" t="s">
        <v>256</v>
      </c>
    </row>
    <row r="106" customFormat="false" ht="15" hidden="false" customHeight="false" outlineLevel="0" collapsed="false">
      <c r="A106" s="3" t="s">
        <v>257</v>
      </c>
    </row>
    <row r="107" customFormat="false" ht="15" hidden="false" customHeight="false" outlineLevel="0" collapsed="false">
      <c r="A107" s="3" t="s">
        <v>258</v>
      </c>
    </row>
    <row r="108" customFormat="false" ht="15" hidden="false" customHeight="false" outlineLevel="0" collapsed="false">
      <c r="A108" s="3" t="s">
        <v>259</v>
      </c>
    </row>
    <row r="109" customFormat="false" ht="15" hidden="false" customHeight="false" outlineLevel="0" collapsed="false">
      <c r="A109" s="3" t="s">
        <v>260</v>
      </c>
    </row>
    <row r="110" customFormat="false" ht="15" hidden="false" customHeight="false" outlineLevel="0" collapsed="false">
      <c r="A110" s="3" t="s">
        <v>261</v>
      </c>
    </row>
    <row r="112" customFormat="false" ht="15" hidden="false" customHeight="false" outlineLevel="0" collapsed="false">
      <c r="A112" s="5" t="s">
        <v>262</v>
      </c>
    </row>
    <row r="113" customFormat="false" ht="15" hidden="false" customHeight="false" outlineLevel="0" collapsed="false">
      <c r="A113" s="3" t="s">
        <v>263</v>
      </c>
    </row>
    <row r="114" customFormat="false" ht="15" hidden="false" customHeight="false" outlineLevel="0" collapsed="false">
      <c r="A114" s="3" t="s">
        <v>264</v>
      </c>
    </row>
    <row r="115" customFormat="false" ht="15" hidden="false" customHeight="false" outlineLevel="0" collapsed="false">
      <c r="A115" s="3" t="s">
        <v>265</v>
      </c>
    </row>
    <row r="117" customFormat="false" ht="15" hidden="false" customHeight="false" outlineLevel="0" collapsed="false">
      <c r="A117" s="5" t="s">
        <v>266</v>
      </c>
    </row>
    <row r="118" customFormat="false" ht="15" hidden="false" customHeight="false" outlineLevel="0" collapsed="false">
      <c r="A118" s="3" t="s">
        <v>267</v>
      </c>
    </row>
    <row r="119" customFormat="false" ht="15" hidden="false" customHeight="false" outlineLevel="0" collapsed="false">
      <c r="A119" s="2" t="s">
        <v>4</v>
      </c>
      <c r="B119" s="2" t="s">
        <v>268</v>
      </c>
      <c r="C119" s="2" t="s">
        <v>269</v>
      </c>
    </row>
    <row r="120" customFormat="false" ht="337.3" hidden="false" customHeight="false" outlineLevel="0" collapsed="false">
      <c r="A120" s="4" t="s">
        <v>10</v>
      </c>
      <c r="B120" s="4" t="s">
        <v>270</v>
      </c>
      <c r="C120" s="4" t="s">
        <v>271</v>
      </c>
    </row>
    <row r="121" customFormat="false" ht="283.55" hidden="false" customHeight="false" outlineLevel="0" collapsed="false">
      <c r="A121" s="4" t="s">
        <v>16</v>
      </c>
      <c r="B121" s="4" t="s">
        <v>272</v>
      </c>
      <c r="C121" s="4" t="s">
        <v>273</v>
      </c>
    </row>
    <row r="122" customFormat="false" ht="202.95" hidden="false" customHeight="false" outlineLevel="0" collapsed="false">
      <c r="A122" s="4" t="s">
        <v>22</v>
      </c>
      <c r="B122" s="4" t="s">
        <v>274</v>
      </c>
      <c r="C122" s="4" t="s">
        <v>275</v>
      </c>
    </row>
    <row r="123" customFormat="false" ht="391" hidden="false" customHeight="false" outlineLevel="0" collapsed="false">
      <c r="A123" s="4" t="s">
        <v>28</v>
      </c>
      <c r="B123" s="4" t="s">
        <v>276</v>
      </c>
      <c r="C123" s="4" t="s">
        <v>277</v>
      </c>
    </row>
    <row r="124" customFormat="false" ht="444.75" hidden="false" customHeight="false" outlineLevel="0" collapsed="false">
      <c r="A124" s="4" t="s">
        <v>34</v>
      </c>
      <c r="B124" s="4" t="s">
        <v>278</v>
      </c>
      <c r="C124" s="4" t="s">
        <v>279</v>
      </c>
    </row>
    <row r="125" customFormat="false" ht="511.9" hidden="false" customHeight="false" outlineLevel="0" collapsed="false">
      <c r="A125" s="4" t="s">
        <v>40</v>
      </c>
      <c r="B125" s="4" t="s">
        <v>280</v>
      </c>
      <c r="C125" s="4" t="s">
        <v>281</v>
      </c>
    </row>
    <row r="127" customFormat="false" ht="15" hidden="false" customHeight="false" outlineLevel="0" collapsed="false">
      <c r="A127" s="5" t="s">
        <v>282</v>
      </c>
    </row>
    <row r="128" customFormat="false" ht="15" hidden="false" customHeight="false" outlineLevel="0" collapsed="false">
      <c r="A128" s="2" t="s">
        <v>98</v>
      </c>
      <c r="B128" s="2" t="s">
        <v>283</v>
      </c>
      <c r="C128" s="2" t="s">
        <v>269</v>
      </c>
    </row>
    <row r="129" customFormat="false" ht="565.65" hidden="false" customHeight="false" outlineLevel="0" collapsed="false">
      <c r="A129" s="4" t="s">
        <v>284</v>
      </c>
      <c r="B129" s="4" t="s">
        <v>285</v>
      </c>
      <c r="C129" s="4" t="s">
        <v>286</v>
      </c>
    </row>
    <row r="130" customFormat="false" ht="243.25" hidden="false" customHeight="false" outlineLevel="0" collapsed="false">
      <c r="A130" s="4" t="s">
        <v>287</v>
      </c>
      <c r="B130" s="4" t="s">
        <v>288</v>
      </c>
      <c r="C130" s="4" t="s">
        <v>289</v>
      </c>
    </row>
    <row r="131" customFormat="false" ht="310.4" hidden="false" customHeight="false" outlineLevel="0" collapsed="false">
      <c r="A131" s="4" t="s">
        <v>290</v>
      </c>
      <c r="B131" s="4" t="s">
        <v>291</v>
      </c>
      <c r="C131" s="4" t="s">
        <v>292</v>
      </c>
    </row>
    <row r="132" customFormat="false" ht="202.95" hidden="false" customHeight="false" outlineLevel="0" collapsed="false">
      <c r="A132" s="4" t="s">
        <v>293</v>
      </c>
      <c r="B132" s="4" t="s">
        <v>294</v>
      </c>
      <c r="C132" s="4" t="s">
        <v>295</v>
      </c>
    </row>
    <row r="133" customFormat="false" ht="135.8" hidden="false" customHeight="false" outlineLevel="0" collapsed="false">
      <c r="A133" s="4" t="s">
        <v>296</v>
      </c>
      <c r="B133" s="4" t="s">
        <v>297</v>
      </c>
      <c r="C133" s="4" t="s">
        <v>298</v>
      </c>
    </row>
    <row r="134" customFormat="false" ht="162.65" hidden="false" customHeight="false" outlineLevel="0" collapsed="false">
      <c r="A134" s="4" t="s">
        <v>138</v>
      </c>
      <c r="B134" s="4" t="s">
        <v>299</v>
      </c>
      <c r="C134" s="4" t="s">
        <v>300</v>
      </c>
    </row>
    <row r="135" customFormat="false" ht="189.55" hidden="false" customHeight="false" outlineLevel="0" collapsed="false">
      <c r="A135" s="4" t="s">
        <v>301</v>
      </c>
      <c r="B135" s="4" t="s">
        <v>302</v>
      </c>
      <c r="C135" s="4" t="s">
        <v>303</v>
      </c>
    </row>
    <row r="137" customFormat="false" ht="15" hidden="false" customHeight="false" outlineLevel="0" collapsed="false">
      <c r="A137" s="5" t="s">
        <v>304</v>
      </c>
    </row>
    <row r="138" customFormat="false" ht="15" hidden="false" customHeight="false" outlineLevel="0" collapsed="false">
      <c r="A138" s="2" t="s">
        <v>98</v>
      </c>
      <c r="B138" s="2" t="s">
        <v>305</v>
      </c>
      <c r="C138" s="2" t="s">
        <v>306</v>
      </c>
    </row>
    <row r="139" customFormat="false" ht="55.2" hidden="false" customHeight="false" outlineLevel="0" collapsed="false">
      <c r="A139" s="4" t="s">
        <v>307</v>
      </c>
      <c r="B139" s="4" t="s">
        <v>308</v>
      </c>
      <c r="C139" s="4" t="s">
        <v>309</v>
      </c>
    </row>
    <row r="140" customFormat="false" ht="68.65" hidden="false" customHeight="false" outlineLevel="0" collapsed="false">
      <c r="A140" s="4" t="s">
        <v>310</v>
      </c>
      <c r="B140" s="4" t="s">
        <v>311</v>
      </c>
      <c r="C140" s="4" t="s">
        <v>312</v>
      </c>
    </row>
    <row r="141" customFormat="false" ht="68.65" hidden="false" customHeight="false" outlineLevel="0" collapsed="false">
      <c r="A141" s="4" t="s">
        <v>313</v>
      </c>
      <c r="B141" s="4" t="s">
        <v>314</v>
      </c>
      <c r="C141" s="4" t="s">
        <v>315</v>
      </c>
    </row>
    <row r="142" customFormat="false" ht="28.35" hidden="false" customHeight="false" outlineLevel="0" collapsed="false">
      <c r="A142" s="4" t="s">
        <v>316</v>
      </c>
      <c r="B142" s="4" t="s">
        <v>317</v>
      </c>
      <c r="C142" s="4" t="s">
        <v>318</v>
      </c>
    </row>
    <row r="143" customFormat="false" ht="28.35" hidden="false" customHeight="false" outlineLevel="0" collapsed="false">
      <c r="A143" s="4" t="s">
        <v>319</v>
      </c>
      <c r="B143" s="4" t="s">
        <v>317</v>
      </c>
      <c r="C143" s="4" t="s">
        <v>320</v>
      </c>
    </row>
    <row r="144" customFormat="false" ht="68.65" hidden="false" customHeight="false" outlineLevel="0" collapsed="false">
      <c r="A144" s="4" t="s">
        <v>321</v>
      </c>
      <c r="B144" s="4" t="s">
        <v>317</v>
      </c>
      <c r="C144" s="4" t="s">
        <v>322</v>
      </c>
    </row>
    <row r="145" customFormat="false" ht="28.35" hidden="false" customHeight="false" outlineLevel="0" collapsed="false">
      <c r="A145" s="4" t="s">
        <v>323</v>
      </c>
      <c r="B145" s="4" t="s">
        <v>311</v>
      </c>
      <c r="C145" s="4" t="s">
        <v>324</v>
      </c>
    </row>
    <row r="146" customFormat="false" ht="41.75" hidden="false" customHeight="false" outlineLevel="0" collapsed="false">
      <c r="A146" s="4" t="s">
        <v>325</v>
      </c>
      <c r="B146" s="4" t="s">
        <v>326</v>
      </c>
      <c r="C146" s="4" t="s">
        <v>327</v>
      </c>
    </row>
    <row r="147" customFormat="false" ht="41.75" hidden="false" customHeight="false" outlineLevel="0" collapsed="false">
      <c r="A147" s="4" t="s">
        <v>328</v>
      </c>
      <c r="B147" s="4" t="s">
        <v>308</v>
      </c>
      <c r="C147" s="4" t="s">
        <v>329</v>
      </c>
    </row>
    <row r="148" customFormat="false" ht="55.2" hidden="false" customHeight="false" outlineLevel="0" collapsed="false">
      <c r="A148" s="4" t="s">
        <v>330</v>
      </c>
      <c r="B148" s="4" t="s">
        <v>331</v>
      </c>
      <c r="C148" s="4" t="s">
        <v>332</v>
      </c>
    </row>
    <row r="149" customFormat="false" ht="41.75" hidden="false" customHeight="false" outlineLevel="0" collapsed="false">
      <c r="A149" s="4" t="s">
        <v>333</v>
      </c>
      <c r="B149" s="4" t="s">
        <v>314</v>
      </c>
      <c r="C149" s="4" t="s">
        <v>334</v>
      </c>
    </row>
    <row r="150" customFormat="false" ht="55.2" hidden="false" customHeight="false" outlineLevel="0" collapsed="false">
      <c r="A150" s="4" t="s">
        <v>335</v>
      </c>
      <c r="B150" s="4" t="s">
        <v>336</v>
      </c>
      <c r="C150" s="4" t="s">
        <v>337</v>
      </c>
    </row>
    <row r="152" customFormat="false" ht="15" hidden="false" customHeight="false" outlineLevel="0" collapsed="false">
      <c r="A152" s="5" t="s">
        <v>338</v>
      </c>
    </row>
    <row r="153" customFormat="false" ht="15" hidden="false" customHeight="false" outlineLevel="0" collapsed="false">
      <c r="A153" s="2" t="s">
        <v>339</v>
      </c>
      <c r="B153" s="2" t="s">
        <v>340</v>
      </c>
      <c r="C153" s="2" t="s">
        <v>341</v>
      </c>
      <c r="D153" s="2" t="s">
        <v>342</v>
      </c>
      <c r="E153" s="2" t="s">
        <v>343</v>
      </c>
      <c r="F153" s="2" t="s">
        <v>344</v>
      </c>
      <c r="G153" s="2" t="s">
        <v>345</v>
      </c>
      <c r="H153" s="2" t="s">
        <v>346</v>
      </c>
      <c r="I153" s="2" t="s">
        <v>347</v>
      </c>
      <c r="J153" s="2" t="s">
        <v>348</v>
      </c>
      <c r="K153" s="2" t="s">
        <v>349</v>
      </c>
    </row>
    <row r="154" customFormat="false" ht="15" hidden="false" customHeight="false" outlineLevel="0" collapsed="false">
      <c r="A154" s="4" t="s">
        <v>350</v>
      </c>
      <c r="B154" s="4" t="s">
        <v>351</v>
      </c>
      <c r="C154" s="4" t="s">
        <v>317</v>
      </c>
      <c r="D154" s="4" t="s">
        <v>317</v>
      </c>
      <c r="E154" s="4" t="s">
        <v>57</v>
      </c>
      <c r="F154" s="4" t="s">
        <v>352</v>
      </c>
      <c r="G154" s="4" t="s">
        <v>317</v>
      </c>
      <c r="H154" s="4" t="s">
        <v>317</v>
      </c>
      <c r="I154" s="4" t="s">
        <v>317</v>
      </c>
      <c r="J154" s="4" t="s">
        <v>317</v>
      </c>
      <c r="K154" s="4" t="s">
        <v>353</v>
      </c>
    </row>
    <row r="155" customFormat="false" ht="15" hidden="false" customHeight="false" outlineLevel="0" collapsed="false">
      <c r="A155" s="4" t="s">
        <v>238</v>
      </c>
      <c r="B155" s="4" t="s">
        <v>354</v>
      </c>
      <c r="C155" s="4" t="s">
        <v>317</v>
      </c>
      <c r="D155" s="4" t="s">
        <v>317</v>
      </c>
      <c r="E155" s="4" t="s">
        <v>317</v>
      </c>
      <c r="F155" s="4" t="s">
        <v>317</v>
      </c>
      <c r="G155" s="4" t="s">
        <v>317</v>
      </c>
      <c r="H155" s="4" t="s">
        <v>317</v>
      </c>
      <c r="I155" s="4" t="s">
        <v>317</v>
      </c>
      <c r="J155" s="4" t="s">
        <v>317</v>
      </c>
      <c r="K155" s="4" t="s">
        <v>230</v>
      </c>
    </row>
    <row r="156" customFormat="false" ht="15" hidden="false" customHeight="false" outlineLevel="0" collapsed="false">
      <c r="A156" s="4" t="s">
        <v>353</v>
      </c>
      <c r="B156" s="4" t="s">
        <v>355</v>
      </c>
      <c r="C156" s="4" t="s">
        <v>317</v>
      </c>
      <c r="D156" s="4" t="s">
        <v>317</v>
      </c>
      <c r="E156" s="4" t="s">
        <v>356</v>
      </c>
      <c r="F156" s="4" t="s">
        <v>357</v>
      </c>
      <c r="G156" s="4" t="s">
        <v>317</v>
      </c>
      <c r="H156" s="4" t="s">
        <v>317</v>
      </c>
      <c r="I156" s="4" t="s">
        <v>317</v>
      </c>
      <c r="J156" s="4" t="s">
        <v>317</v>
      </c>
      <c r="K156" s="4" t="s">
        <v>358</v>
      </c>
    </row>
    <row r="157" customFormat="false" ht="15" hidden="false" customHeight="false" outlineLevel="0" collapsed="false">
      <c r="A157" s="4" t="s">
        <v>230</v>
      </c>
      <c r="B157" s="4" t="s">
        <v>359</v>
      </c>
      <c r="C157" s="4" t="s">
        <v>317</v>
      </c>
      <c r="D157" s="4" t="s">
        <v>317</v>
      </c>
      <c r="E157" s="4" t="s">
        <v>52</v>
      </c>
      <c r="F157" s="4" t="s">
        <v>360</v>
      </c>
      <c r="G157" s="4" t="s">
        <v>317</v>
      </c>
      <c r="H157" s="4" t="s">
        <v>317</v>
      </c>
      <c r="I157" s="4" t="s">
        <v>317</v>
      </c>
      <c r="J157" s="4" t="s">
        <v>317</v>
      </c>
      <c r="K157" s="4" t="s">
        <v>226</v>
      </c>
    </row>
    <row r="158" customFormat="false" ht="15" hidden="false" customHeight="false" outlineLevel="0" collapsed="false">
      <c r="A158" s="4" t="s">
        <v>358</v>
      </c>
      <c r="B158" s="4" t="s">
        <v>361</v>
      </c>
      <c r="C158" s="4" t="s">
        <v>362</v>
      </c>
      <c r="D158" s="4" t="s">
        <v>363</v>
      </c>
      <c r="E158" s="4" t="s">
        <v>317</v>
      </c>
      <c r="F158" s="4" t="s">
        <v>317</v>
      </c>
      <c r="G158" s="4" t="s">
        <v>317</v>
      </c>
      <c r="H158" s="4" t="s">
        <v>317</v>
      </c>
      <c r="I158" s="4" t="s">
        <v>317</v>
      </c>
      <c r="J158" s="4" t="s">
        <v>317</v>
      </c>
      <c r="K158" s="4" t="s">
        <v>242</v>
      </c>
    </row>
    <row r="159" customFormat="false" ht="15" hidden="false" customHeight="false" outlineLevel="0" collapsed="false">
      <c r="A159" s="4" t="s">
        <v>226</v>
      </c>
      <c r="B159" s="4" t="s">
        <v>364</v>
      </c>
      <c r="C159" s="4" t="s">
        <v>365</v>
      </c>
      <c r="D159" s="4" t="s">
        <v>366</v>
      </c>
      <c r="E159" s="4" t="s">
        <v>367</v>
      </c>
      <c r="F159" s="4" t="s">
        <v>368</v>
      </c>
      <c r="G159" s="4" t="s">
        <v>369</v>
      </c>
      <c r="H159" s="4" t="s">
        <v>370</v>
      </c>
      <c r="I159" s="4" t="s">
        <v>371</v>
      </c>
      <c r="J159" s="4" t="s">
        <v>372</v>
      </c>
      <c r="K159" s="4" t="s">
        <v>373</v>
      </c>
    </row>
    <row r="160" customFormat="false" ht="15" hidden="false" customHeight="false" outlineLevel="0" collapsed="false">
      <c r="A160" s="4" t="s">
        <v>242</v>
      </c>
      <c r="B160" s="4" t="s">
        <v>374</v>
      </c>
      <c r="C160" s="4" t="s">
        <v>375</v>
      </c>
      <c r="D160" s="4" t="s">
        <v>376</v>
      </c>
      <c r="E160" s="4" t="s">
        <v>377</v>
      </c>
      <c r="F160" s="4" t="s">
        <v>378</v>
      </c>
      <c r="G160" s="4" t="s">
        <v>375</v>
      </c>
      <c r="H160" s="4" t="s">
        <v>376</v>
      </c>
      <c r="I160" s="4" t="s">
        <v>379</v>
      </c>
      <c r="J160" s="4" t="s">
        <v>380</v>
      </c>
      <c r="K160" s="4" t="s">
        <v>381</v>
      </c>
    </row>
    <row r="161" customFormat="false" ht="15" hidden="false" customHeight="false" outlineLevel="0" collapsed="false">
      <c r="A161" s="4" t="s">
        <v>373</v>
      </c>
      <c r="B161" s="4" t="s">
        <v>374</v>
      </c>
      <c r="C161" s="4" t="s">
        <v>375</v>
      </c>
      <c r="D161" s="4" t="s">
        <v>376</v>
      </c>
      <c r="E161" s="4" t="s">
        <v>356</v>
      </c>
      <c r="F161" s="4" t="s">
        <v>382</v>
      </c>
      <c r="G161" s="4" t="s">
        <v>375</v>
      </c>
      <c r="H161" s="4" t="s">
        <v>376</v>
      </c>
      <c r="I161" s="4" t="s">
        <v>383</v>
      </c>
      <c r="J161" s="4" t="s">
        <v>384</v>
      </c>
      <c r="K161" s="4" t="s">
        <v>244</v>
      </c>
    </row>
    <row r="162" customFormat="false" ht="15" hidden="false" customHeight="false" outlineLevel="0" collapsed="false">
      <c r="A162" s="4" t="s">
        <v>381</v>
      </c>
      <c r="B162" s="4" t="s">
        <v>385</v>
      </c>
      <c r="C162" s="4" t="s">
        <v>386</v>
      </c>
      <c r="D162" s="4" t="s">
        <v>387</v>
      </c>
      <c r="E162" s="4" t="s">
        <v>388</v>
      </c>
      <c r="F162" s="4" t="s">
        <v>389</v>
      </c>
      <c r="G162" s="4" t="s">
        <v>386</v>
      </c>
      <c r="H162" s="4" t="s">
        <v>387</v>
      </c>
      <c r="I162" s="4" t="s">
        <v>390</v>
      </c>
      <c r="J162" s="4" t="s">
        <v>391</v>
      </c>
      <c r="K162" s="4" t="s">
        <v>234</v>
      </c>
    </row>
    <row r="163" customFormat="false" ht="15" hidden="false" customHeight="false" outlineLevel="0" collapsed="false">
      <c r="A163" s="4" t="s">
        <v>244</v>
      </c>
      <c r="B163" s="4" t="s">
        <v>392</v>
      </c>
      <c r="C163" s="4" t="s">
        <v>393</v>
      </c>
      <c r="D163" s="4" t="s">
        <v>394</v>
      </c>
      <c r="E163" s="4" t="s">
        <v>367</v>
      </c>
      <c r="F163" s="4" t="s">
        <v>395</v>
      </c>
      <c r="G163" s="4" t="s">
        <v>393</v>
      </c>
      <c r="H163" s="4" t="s">
        <v>394</v>
      </c>
      <c r="I163" s="4" t="s">
        <v>396</v>
      </c>
      <c r="J163" s="4" t="s">
        <v>397</v>
      </c>
      <c r="K163" s="4" t="s">
        <v>398</v>
      </c>
    </row>
    <row r="164" customFormat="false" ht="15" hidden="false" customHeight="false" outlineLevel="0" collapsed="false">
      <c r="A164" s="4" t="s">
        <v>234</v>
      </c>
      <c r="B164" s="4" t="s">
        <v>399</v>
      </c>
      <c r="C164" s="4" t="s">
        <v>400</v>
      </c>
      <c r="D164" s="4" t="s">
        <v>401</v>
      </c>
      <c r="E164" s="4" t="s">
        <v>402</v>
      </c>
      <c r="F164" s="4" t="s">
        <v>403</v>
      </c>
      <c r="G164" s="4" t="s">
        <v>400</v>
      </c>
      <c r="H164" s="4" t="s">
        <v>401</v>
      </c>
      <c r="I164" s="4" t="s">
        <v>404</v>
      </c>
      <c r="J164" s="4" t="s">
        <v>405</v>
      </c>
      <c r="K164" s="4" t="s">
        <v>406</v>
      </c>
    </row>
    <row r="165" customFormat="false" ht="15" hidden="false" customHeight="false" outlineLevel="0" collapsed="false">
      <c r="A165" s="4" t="s">
        <v>398</v>
      </c>
      <c r="B165" s="4" t="s">
        <v>407</v>
      </c>
      <c r="C165" s="4" t="s">
        <v>408</v>
      </c>
      <c r="D165" s="4" t="s">
        <v>409</v>
      </c>
      <c r="E165" s="4" t="s">
        <v>402</v>
      </c>
      <c r="F165" s="4" t="s">
        <v>403</v>
      </c>
      <c r="G165" s="4" t="s">
        <v>408</v>
      </c>
      <c r="H165" s="4" t="s">
        <v>409</v>
      </c>
      <c r="I165" s="4" t="s">
        <v>410</v>
      </c>
      <c r="J165" s="4" t="s">
        <v>411</v>
      </c>
      <c r="K165" s="4" t="s">
        <v>412</v>
      </c>
    </row>
    <row r="166" customFormat="false" ht="15" hidden="false" customHeight="false" outlineLevel="0" collapsed="false">
      <c r="A166" s="4" t="s">
        <v>406</v>
      </c>
      <c r="B166" s="4" t="s">
        <v>413</v>
      </c>
      <c r="C166" s="4" t="s">
        <v>414</v>
      </c>
      <c r="D166" s="4" t="s">
        <v>415</v>
      </c>
      <c r="E166" s="4" t="s">
        <v>416</v>
      </c>
      <c r="F166" s="4" t="s">
        <v>417</v>
      </c>
      <c r="G166" s="4" t="s">
        <v>414</v>
      </c>
      <c r="H166" s="4" t="s">
        <v>415</v>
      </c>
      <c r="I166" s="4" t="s">
        <v>418</v>
      </c>
      <c r="J166" s="4" t="s">
        <v>419</v>
      </c>
      <c r="K166" s="4" t="s">
        <v>420</v>
      </c>
    </row>
    <row r="167" customFormat="false" ht="15" hidden="false" customHeight="false" outlineLevel="0" collapsed="false">
      <c r="A167" s="4" t="s">
        <v>412</v>
      </c>
      <c r="B167" s="4" t="s">
        <v>421</v>
      </c>
      <c r="C167" s="4" t="s">
        <v>422</v>
      </c>
      <c r="D167" s="4" t="s">
        <v>423</v>
      </c>
      <c r="E167" s="4" t="s">
        <v>424</v>
      </c>
      <c r="F167" s="4" t="s">
        <v>425</v>
      </c>
      <c r="G167" s="4" t="s">
        <v>422</v>
      </c>
      <c r="H167" s="4" t="s">
        <v>423</v>
      </c>
      <c r="I167" s="4" t="s">
        <v>426</v>
      </c>
      <c r="J167" s="4" t="s">
        <v>427</v>
      </c>
      <c r="K167" s="4" t="s">
        <v>428</v>
      </c>
    </row>
    <row r="168" customFormat="false" ht="15" hidden="false" customHeight="false" outlineLevel="0" collapsed="false">
      <c r="A168" s="4" t="s">
        <v>420</v>
      </c>
      <c r="B168" s="4" t="s">
        <v>429</v>
      </c>
      <c r="C168" s="4" t="s">
        <v>430</v>
      </c>
      <c r="D168" s="4" t="s">
        <v>431</v>
      </c>
      <c r="E168" s="4" t="s">
        <v>432</v>
      </c>
      <c r="F168" s="4" t="s">
        <v>433</v>
      </c>
      <c r="G168" s="4" t="s">
        <v>430</v>
      </c>
      <c r="H168" s="4" t="s">
        <v>431</v>
      </c>
      <c r="I168" s="4" t="s">
        <v>434</v>
      </c>
      <c r="J168" s="4" t="s">
        <v>435</v>
      </c>
      <c r="K168" s="4" t="s">
        <v>436</v>
      </c>
    </row>
    <row r="169" customFormat="false" ht="15" hidden="false" customHeight="false" outlineLevel="0" collapsed="false">
      <c r="A169" s="4" t="s">
        <v>428</v>
      </c>
      <c r="B169" s="4" t="s">
        <v>437</v>
      </c>
      <c r="C169" s="4" t="s">
        <v>438</v>
      </c>
      <c r="D169" s="4" t="s">
        <v>439</v>
      </c>
      <c r="E169" s="4" t="s">
        <v>440</v>
      </c>
      <c r="F169" s="4" t="s">
        <v>441</v>
      </c>
      <c r="G169" s="4" t="s">
        <v>438</v>
      </c>
      <c r="H169" s="4" t="s">
        <v>439</v>
      </c>
      <c r="I169" s="4" t="s">
        <v>442</v>
      </c>
      <c r="J169" s="4" t="s">
        <v>443</v>
      </c>
      <c r="K169" s="4" t="s">
        <v>444</v>
      </c>
    </row>
    <row r="171" customFormat="false" ht="15" hidden="false" customHeight="false" outlineLevel="0" collapsed="false">
      <c r="A171" s="5" t="s">
        <v>445</v>
      </c>
    </row>
    <row r="172" customFormat="false" ht="15" hidden="false" customHeight="false" outlineLevel="0" collapsed="false">
      <c r="A172" s="2" t="s">
        <v>69</v>
      </c>
      <c r="B172" s="2" t="s">
        <v>446</v>
      </c>
      <c r="C172" s="2" t="s">
        <v>447</v>
      </c>
      <c r="D172" s="2" t="s">
        <v>201</v>
      </c>
      <c r="E172" s="2" t="s">
        <v>448</v>
      </c>
      <c r="F172" s="2" t="s">
        <v>449</v>
      </c>
    </row>
    <row r="173" customFormat="false" ht="15" hidden="false" customHeight="false" outlineLevel="0" collapsed="false">
      <c r="A173" s="4" t="s">
        <v>450</v>
      </c>
      <c r="B173" s="4" t="s">
        <v>451</v>
      </c>
      <c r="C173" s="4" t="s">
        <v>451</v>
      </c>
      <c r="D173" s="4" t="s">
        <v>451</v>
      </c>
      <c r="E173" s="4" t="s">
        <v>317</v>
      </c>
      <c r="F173" s="4" t="s">
        <v>317</v>
      </c>
    </row>
    <row r="174" customFormat="false" ht="15" hidden="false" customHeight="false" outlineLevel="0" collapsed="false">
      <c r="A174" s="4" t="s">
        <v>452</v>
      </c>
      <c r="B174" s="4" t="s">
        <v>453</v>
      </c>
      <c r="C174" s="4" t="s">
        <v>454</v>
      </c>
      <c r="D174" s="4" t="s">
        <v>455</v>
      </c>
      <c r="E174" s="4" t="s">
        <v>456</v>
      </c>
      <c r="F174" s="4" t="s">
        <v>457</v>
      </c>
    </row>
    <row r="175" customFormat="false" ht="15" hidden="false" customHeight="false" outlineLevel="0" collapsed="false">
      <c r="A175" s="4" t="s">
        <v>458</v>
      </c>
      <c r="B175" s="4" t="s">
        <v>459</v>
      </c>
      <c r="C175" s="4" t="s">
        <v>460</v>
      </c>
      <c r="D175" s="4" t="s">
        <v>461</v>
      </c>
      <c r="E175" s="4" t="s">
        <v>462</v>
      </c>
      <c r="F175" s="4" t="s">
        <v>463</v>
      </c>
    </row>
    <row r="176" customFormat="false" ht="15" hidden="false" customHeight="false" outlineLevel="0" collapsed="false">
      <c r="A176" s="4" t="s">
        <v>464</v>
      </c>
      <c r="B176" s="4" t="s">
        <v>465</v>
      </c>
      <c r="C176" s="4" t="s">
        <v>465</v>
      </c>
      <c r="D176" s="4" t="s">
        <v>465</v>
      </c>
      <c r="E176" s="4" t="s">
        <v>317</v>
      </c>
      <c r="F176" s="4" t="s">
        <v>317</v>
      </c>
    </row>
    <row r="177" customFormat="false" ht="15" hidden="false" customHeight="false" outlineLevel="0" collapsed="false">
      <c r="A177" s="4" t="s">
        <v>466</v>
      </c>
      <c r="B177" s="4" t="s">
        <v>467</v>
      </c>
      <c r="C177" s="4" t="s">
        <v>317</v>
      </c>
      <c r="D177" s="4" t="s">
        <v>317</v>
      </c>
      <c r="E177" s="4" t="s">
        <v>317</v>
      </c>
      <c r="F177" s="4" t="s">
        <v>468</v>
      </c>
    </row>
    <row r="178" customFormat="false" ht="15" hidden="false" customHeight="false" outlineLevel="0" collapsed="false">
      <c r="A178" s="4" t="s">
        <v>469</v>
      </c>
      <c r="B178" s="4" t="s">
        <v>470</v>
      </c>
      <c r="C178" s="4" t="s">
        <v>317</v>
      </c>
      <c r="D178" s="4" t="s">
        <v>317</v>
      </c>
      <c r="E178" s="4" t="s">
        <v>317</v>
      </c>
      <c r="F178" s="4" t="s">
        <v>471</v>
      </c>
    </row>
    <row r="179" customFormat="false" ht="15" hidden="false" customHeight="false" outlineLevel="0" collapsed="false">
      <c r="A179" s="4" t="s">
        <v>472</v>
      </c>
      <c r="B179" s="4" t="s">
        <v>473</v>
      </c>
      <c r="C179" s="4" t="s">
        <v>317</v>
      </c>
      <c r="D179" s="4" t="s">
        <v>317</v>
      </c>
      <c r="E179" s="4" t="s">
        <v>317</v>
      </c>
      <c r="F179" s="4" t="s">
        <v>474</v>
      </c>
    </row>
    <row r="180" customFormat="false" ht="28.35" hidden="false" customHeight="false" outlineLevel="0" collapsed="false">
      <c r="A180" s="4" t="s">
        <v>475</v>
      </c>
      <c r="B180" s="4" t="s">
        <v>476</v>
      </c>
      <c r="C180" s="4" t="s">
        <v>477</v>
      </c>
      <c r="D180" s="4" t="s">
        <v>478</v>
      </c>
      <c r="E180" s="4" t="s">
        <v>479</v>
      </c>
      <c r="F180" s="4" t="s">
        <v>480</v>
      </c>
    </row>
    <row r="181" customFormat="false" ht="15" hidden="false" customHeight="false" outlineLevel="0" collapsed="false">
      <c r="A181" s="2" t="s">
        <v>481</v>
      </c>
    </row>
    <row r="183" customFormat="false" ht="15" hidden="false" customHeight="false" outlineLevel="0" collapsed="false">
      <c r="A183" s="5" t="s">
        <v>482</v>
      </c>
    </row>
    <row r="184" customFormat="false" ht="15" hidden="false" customHeight="false" outlineLevel="0" collapsed="false">
      <c r="A184" s="2" t="s">
        <v>483</v>
      </c>
      <c r="B184" s="2" t="s">
        <v>484</v>
      </c>
      <c r="C184" s="2" t="s">
        <v>485</v>
      </c>
      <c r="D184" s="2" t="s">
        <v>486</v>
      </c>
      <c r="E184" s="2" t="s">
        <v>487</v>
      </c>
      <c r="F184" s="2" t="s">
        <v>488</v>
      </c>
      <c r="G184" s="2" t="s">
        <v>489</v>
      </c>
      <c r="H184" s="2" t="s">
        <v>490</v>
      </c>
      <c r="I184" s="2" t="s">
        <v>491</v>
      </c>
    </row>
    <row r="185" customFormat="false" ht="82.05" hidden="false" customHeight="false" outlineLevel="0" collapsed="false">
      <c r="A185" s="4" t="s">
        <v>492</v>
      </c>
      <c r="B185" s="4" t="s">
        <v>308</v>
      </c>
      <c r="C185" s="4" t="s">
        <v>493</v>
      </c>
      <c r="D185" s="4" t="s">
        <v>317</v>
      </c>
      <c r="E185" s="4" t="s">
        <v>331</v>
      </c>
      <c r="F185" s="4" t="s">
        <v>314</v>
      </c>
      <c r="G185" s="4" t="s">
        <v>494</v>
      </c>
      <c r="H185" s="4" t="s">
        <v>130</v>
      </c>
      <c r="I185" s="4" t="s">
        <v>478</v>
      </c>
    </row>
    <row r="186" customFormat="false" ht="82.05" hidden="false" customHeight="false" outlineLevel="0" collapsed="false">
      <c r="A186" s="4" t="s">
        <v>495</v>
      </c>
      <c r="B186" s="4" t="s">
        <v>496</v>
      </c>
      <c r="C186" s="4" t="s">
        <v>497</v>
      </c>
      <c r="D186" s="4" t="s">
        <v>498</v>
      </c>
      <c r="E186" s="4" t="s">
        <v>499</v>
      </c>
      <c r="F186" s="4" t="s">
        <v>500</v>
      </c>
      <c r="G186" s="4" t="s">
        <v>501</v>
      </c>
      <c r="H186" s="4" t="s">
        <v>502</v>
      </c>
      <c r="I186" s="4" t="s">
        <v>503</v>
      </c>
    </row>
    <row r="187" customFormat="false" ht="28.35" hidden="false" customHeight="false" outlineLevel="0" collapsed="false">
      <c r="A187" s="4" t="s">
        <v>504</v>
      </c>
      <c r="B187" s="4" t="s">
        <v>505</v>
      </c>
      <c r="C187" s="4" t="s">
        <v>506</v>
      </c>
      <c r="D187" s="4" t="s">
        <v>361</v>
      </c>
      <c r="E187" s="4" t="s">
        <v>507</v>
      </c>
      <c r="F187" s="4" t="s">
        <v>314</v>
      </c>
      <c r="G187" s="4" t="s">
        <v>508</v>
      </c>
      <c r="H187" s="4" t="s">
        <v>509</v>
      </c>
      <c r="I187" s="4" t="s">
        <v>510</v>
      </c>
    </row>
    <row r="188" customFormat="false" ht="55.2" hidden="false" customHeight="false" outlineLevel="0" collapsed="false">
      <c r="A188" s="4" t="s">
        <v>511</v>
      </c>
      <c r="B188" s="4" t="s">
        <v>512</v>
      </c>
      <c r="C188" s="4" t="s">
        <v>513</v>
      </c>
      <c r="D188" s="4" t="s">
        <v>514</v>
      </c>
      <c r="E188" s="4" t="s">
        <v>515</v>
      </c>
      <c r="F188" s="4" t="s">
        <v>500</v>
      </c>
      <c r="G188" s="4" t="s">
        <v>516</v>
      </c>
      <c r="H188" s="4" t="s">
        <v>517</v>
      </c>
      <c r="I188" s="4" t="s">
        <v>518</v>
      </c>
    </row>
    <row r="189" customFormat="false" ht="55.2" hidden="false" customHeight="false" outlineLevel="0" collapsed="false">
      <c r="A189" s="4" t="s">
        <v>519</v>
      </c>
      <c r="B189" s="4" t="s">
        <v>308</v>
      </c>
      <c r="C189" s="4" t="s">
        <v>520</v>
      </c>
      <c r="D189" s="4" t="s">
        <v>317</v>
      </c>
      <c r="E189" s="4" t="s">
        <v>521</v>
      </c>
      <c r="F189" s="4" t="s">
        <v>314</v>
      </c>
      <c r="G189" s="4" t="s">
        <v>522</v>
      </c>
      <c r="H189" s="4" t="s">
        <v>523</v>
      </c>
      <c r="I189" s="4" t="s">
        <v>524</v>
      </c>
    </row>
    <row r="190" customFormat="false" ht="28.35" hidden="false" customHeight="false" outlineLevel="0" collapsed="false">
      <c r="A190" s="4" t="s">
        <v>525</v>
      </c>
      <c r="B190" s="4" t="s">
        <v>496</v>
      </c>
      <c r="C190" s="4" t="s">
        <v>526</v>
      </c>
      <c r="D190" s="4" t="s">
        <v>498</v>
      </c>
      <c r="E190" s="4" t="s">
        <v>527</v>
      </c>
      <c r="F190" s="4" t="s">
        <v>500</v>
      </c>
      <c r="G190" s="4" t="s">
        <v>528</v>
      </c>
      <c r="H190" s="4" t="s">
        <v>529</v>
      </c>
      <c r="I190" s="4" t="s">
        <v>530</v>
      </c>
    </row>
    <row r="191" customFormat="false" ht="15" hidden="false" customHeight="false" outlineLevel="0" collapsed="false">
      <c r="A191" s="2" t="s">
        <v>531</v>
      </c>
    </row>
    <row r="193" customFormat="false" ht="15" hidden="false" customHeight="false" outlineLevel="0" collapsed="false">
      <c r="A193" s="5" t="s">
        <v>532</v>
      </c>
    </row>
    <row r="194" customFormat="false" ht="15" hidden="false" customHeight="false" outlineLevel="0" collapsed="false">
      <c r="A194" s="2" t="s">
        <v>98</v>
      </c>
      <c r="B194" s="2" t="s">
        <v>305</v>
      </c>
      <c r="C194" s="2" t="s">
        <v>533</v>
      </c>
    </row>
    <row r="195" customFormat="false" ht="41.75" hidden="false" customHeight="false" outlineLevel="0" collapsed="false">
      <c r="A195" s="4" t="s">
        <v>534</v>
      </c>
      <c r="B195" s="4" t="s">
        <v>535</v>
      </c>
      <c r="C195" s="4" t="s">
        <v>536</v>
      </c>
    </row>
    <row r="196" customFormat="false" ht="55.2" hidden="false" customHeight="false" outlineLevel="0" collapsed="false">
      <c r="A196" s="4" t="s">
        <v>537</v>
      </c>
      <c r="B196" s="4" t="s">
        <v>361</v>
      </c>
      <c r="C196" s="4" t="s">
        <v>538</v>
      </c>
    </row>
    <row r="197" customFormat="false" ht="68.65" hidden="false" customHeight="false" outlineLevel="0" collapsed="false">
      <c r="A197" s="4" t="s">
        <v>539</v>
      </c>
      <c r="B197" s="4" t="s">
        <v>540</v>
      </c>
      <c r="C197" s="4" t="s">
        <v>541</v>
      </c>
    </row>
    <row r="198" customFormat="false" ht="41.75" hidden="false" customHeight="false" outlineLevel="0" collapsed="false">
      <c r="A198" s="4" t="s">
        <v>542</v>
      </c>
      <c r="B198" s="4" t="s">
        <v>543</v>
      </c>
      <c r="C198" s="4" t="s">
        <v>544</v>
      </c>
    </row>
    <row r="199" customFormat="false" ht="41.75" hidden="false" customHeight="false" outlineLevel="0" collapsed="false">
      <c r="A199" s="4" t="s">
        <v>545</v>
      </c>
      <c r="B199" s="4" t="s">
        <v>509</v>
      </c>
      <c r="C199" s="4" t="s">
        <v>546</v>
      </c>
    </row>
    <row r="200" customFormat="false" ht="55.2" hidden="false" customHeight="false" outlineLevel="0" collapsed="false">
      <c r="A200" s="4" t="s">
        <v>547</v>
      </c>
      <c r="B200" s="4" t="s">
        <v>548</v>
      </c>
      <c r="C200" s="4" t="s">
        <v>549</v>
      </c>
    </row>
    <row r="201" customFormat="false" ht="41.75" hidden="false" customHeight="false" outlineLevel="0" collapsed="false">
      <c r="A201" s="4" t="s">
        <v>550</v>
      </c>
      <c r="B201" s="4" t="s">
        <v>551</v>
      </c>
      <c r="C201" s="4" t="s">
        <v>552</v>
      </c>
    </row>
    <row r="202" customFormat="false" ht="41.75" hidden="false" customHeight="false" outlineLevel="0" collapsed="false">
      <c r="A202" s="4" t="s">
        <v>553</v>
      </c>
      <c r="B202" s="4" t="s">
        <v>317</v>
      </c>
      <c r="C202" s="4" t="s">
        <v>554</v>
      </c>
    </row>
    <row r="204" customFormat="false" ht="15" hidden="false" customHeight="false" outlineLevel="0" collapsed="false">
      <c r="A204" s="5" t="s">
        <v>555</v>
      </c>
    </row>
    <row r="205" customFormat="false" ht="15" hidden="false" customHeight="false" outlineLevel="0" collapsed="false">
      <c r="A205" s="2" t="s">
        <v>556</v>
      </c>
      <c r="B205" s="2" t="s">
        <v>557</v>
      </c>
      <c r="C205" s="2" t="s">
        <v>558</v>
      </c>
    </row>
    <row r="206" customFormat="false" ht="55.2" hidden="false" customHeight="false" outlineLevel="0" collapsed="false">
      <c r="A206" s="4" t="s">
        <v>559</v>
      </c>
      <c r="B206" s="4" t="s">
        <v>560</v>
      </c>
      <c r="C206" s="4" t="s">
        <v>561</v>
      </c>
    </row>
    <row r="207" customFormat="false" ht="28.35" hidden="false" customHeight="false" outlineLevel="0" collapsed="false">
      <c r="A207" s="4" t="s">
        <v>562</v>
      </c>
      <c r="B207" s="4" t="s">
        <v>563</v>
      </c>
      <c r="C207" s="4" t="s">
        <v>564</v>
      </c>
    </row>
    <row r="208" customFormat="false" ht="55.2" hidden="false" customHeight="false" outlineLevel="0" collapsed="false">
      <c r="A208" s="4" t="s">
        <v>565</v>
      </c>
      <c r="B208" s="4" t="s">
        <v>566</v>
      </c>
      <c r="C208" s="4" t="s">
        <v>567</v>
      </c>
    </row>
    <row r="209" customFormat="false" ht="55.2" hidden="false" customHeight="false" outlineLevel="0" collapsed="false">
      <c r="A209" s="4" t="s">
        <v>568</v>
      </c>
      <c r="B209" s="4" t="s">
        <v>479</v>
      </c>
      <c r="C209" s="4" t="s">
        <v>569</v>
      </c>
    </row>
    <row r="210" customFormat="false" ht="41.75" hidden="false" customHeight="false" outlineLevel="0" collapsed="false">
      <c r="A210" s="4" t="s">
        <v>570</v>
      </c>
      <c r="B210" s="4" t="s">
        <v>571</v>
      </c>
      <c r="C210" s="4" t="s">
        <v>572</v>
      </c>
    </row>
    <row r="211" customFormat="false" ht="41.75" hidden="false" customHeight="false" outlineLevel="0" collapsed="false">
      <c r="A211" s="4" t="s">
        <v>573</v>
      </c>
      <c r="B211" s="4" t="s">
        <v>497</v>
      </c>
      <c r="C211" s="4" t="s">
        <v>574</v>
      </c>
    </row>
    <row r="213" customFormat="false" ht="15" hidden="false" customHeight="false" outlineLevel="0" collapsed="false">
      <c r="A213" s="5" t="s">
        <v>575</v>
      </c>
    </row>
    <row r="214" customFormat="false" ht="15" hidden="false" customHeight="false" outlineLevel="0" collapsed="false">
      <c r="A214" s="2" t="s">
        <v>576</v>
      </c>
      <c r="B214" s="2" t="s">
        <v>577</v>
      </c>
      <c r="C214" s="2" t="s">
        <v>578</v>
      </c>
      <c r="D214" s="2" t="s">
        <v>579</v>
      </c>
      <c r="E214" s="2" t="s">
        <v>580</v>
      </c>
      <c r="F214" s="2" t="s">
        <v>581</v>
      </c>
      <c r="G214" s="2" t="s">
        <v>582</v>
      </c>
    </row>
    <row r="215" customFormat="false" ht="95.5" hidden="false" customHeight="false" outlineLevel="0" collapsed="false">
      <c r="A215" s="4" t="s">
        <v>583</v>
      </c>
      <c r="B215" s="4" t="s">
        <v>584</v>
      </c>
      <c r="C215" s="4" t="s">
        <v>585</v>
      </c>
      <c r="D215" s="4" t="s">
        <v>586</v>
      </c>
      <c r="E215" s="4" t="s">
        <v>63</v>
      </c>
      <c r="F215" s="4" t="s">
        <v>63</v>
      </c>
      <c r="G215" s="4" t="s">
        <v>63</v>
      </c>
    </row>
    <row r="216" customFormat="false" ht="95.5" hidden="false" customHeight="false" outlineLevel="0" collapsed="false">
      <c r="A216" s="4" t="s">
        <v>587</v>
      </c>
      <c r="B216" s="4" t="s">
        <v>588</v>
      </c>
      <c r="C216" s="4" t="s">
        <v>589</v>
      </c>
      <c r="D216" s="4" t="s">
        <v>586</v>
      </c>
      <c r="E216" s="4" t="s">
        <v>63</v>
      </c>
      <c r="F216" s="4" t="s">
        <v>63</v>
      </c>
      <c r="G216" s="4" t="s">
        <v>63</v>
      </c>
    </row>
    <row r="217" customFormat="false" ht="95.5" hidden="false" customHeight="false" outlineLevel="0" collapsed="false">
      <c r="A217" s="4" t="s">
        <v>590</v>
      </c>
      <c r="B217" s="4" t="s">
        <v>591</v>
      </c>
      <c r="C217" s="4" t="s">
        <v>592</v>
      </c>
      <c r="D217" s="4" t="s">
        <v>593</v>
      </c>
      <c r="E217" s="4" t="s">
        <v>356</v>
      </c>
      <c r="F217" s="4" t="s">
        <v>356</v>
      </c>
      <c r="G217" s="4" t="s">
        <v>356</v>
      </c>
    </row>
    <row r="218" customFormat="false" ht="95.5" hidden="false" customHeight="false" outlineLevel="0" collapsed="false">
      <c r="A218" s="4" t="s">
        <v>594</v>
      </c>
      <c r="B218" s="4" t="s">
        <v>595</v>
      </c>
      <c r="C218" s="4" t="s">
        <v>596</v>
      </c>
      <c r="D218" s="4" t="s">
        <v>586</v>
      </c>
      <c r="E218" s="4" t="s">
        <v>63</v>
      </c>
      <c r="F218" s="4" t="s">
        <v>63</v>
      </c>
      <c r="G218" s="4" t="s">
        <v>63</v>
      </c>
    </row>
    <row r="219" customFormat="false" ht="95.5" hidden="false" customHeight="false" outlineLevel="0" collapsed="false">
      <c r="A219" s="4" t="s">
        <v>597</v>
      </c>
      <c r="B219" s="4" t="s">
        <v>598</v>
      </c>
      <c r="C219" s="4" t="s">
        <v>599</v>
      </c>
      <c r="D219" s="4" t="s">
        <v>586</v>
      </c>
      <c r="E219" s="4" t="s">
        <v>63</v>
      </c>
      <c r="F219" s="4" t="s">
        <v>63</v>
      </c>
      <c r="G219" s="4" t="s">
        <v>63</v>
      </c>
    </row>
    <row r="220" customFormat="false" ht="95.5" hidden="false" customHeight="false" outlineLevel="0" collapsed="false">
      <c r="A220" s="4" t="s">
        <v>600</v>
      </c>
      <c r="B220" s="4" t="s">
        <v>601</v>
      </c>
      <c r="C220" s="4" t="s">
        <v>602</v>
      </c>
      <c r="D220" s="4" t="s">
        <v>603</v>
      </c>
      <c r="E220" s="4" t="s">
        <v>604</v>
      </c>
      <c r="F220" s="4" t="s">
        <v>604</v>
      </c>
      <c r="G220" s="4" t="s">
        <v>604</v>
      </c>
    </row>
    <row r="221" customFormat="false" ht="95.5" hidden="false" customHeight="false" outlineLevel="0" collapsed="false">
      <c r="A221" s="4" t="s">
        <v>605</v>
      </c>
      <c r="B221" s="4" t="s">
        <v>606</v>
      </c>
      <c r="C221" s="4" t="s">
        <v>607</v>
      </c>
      <c r="D221" s="4" t="s">
        <v>608</v>
      </c>
      <c r="E221" s="4" t="s">
        <v>356</v>
      </c>
      <c r="F221" s="4" t="s">
        <v>356</v>
      </c>
      <c r="G221" s="4" t="s">
        <v>356</v>
      </c>
    </row>
    <row r="222" customFormat="false" ht="95.5" hidden="false" customHeight="false" outlineLevel="0" collapsed="false">
      <c r="A222" s="4" t="s">
        <v>609</v>
      </c>
      <c r="B222" s="4" t="s">
        <v>610</v>
      </c>
      <c r="C222" s="4" t="s">
        <v>611</v>
      </c>
      <c r="D222" s="4" t="s">
        <v>612</v>
      </c>
      <c r="E222" s="4" t="s">
        <v>604</v>
      </c>
      <c r="F222" s="4" t="s">
        <v>604</v>
      </c>
      <c r="G222" s="4" t="s">
        <v>604</v>
      </c>
    </row>
    <row r="223" customFormat="false" ht="95.5" hidden="false" customHeight="false" outlineLevel="0" collapsed="false">
      <c r="A223" s="4" t="s">
        <v>613</v>
      </c>
      <c r="B223" s="4" t="s">
        <v>614</v>
      </c>
      <c r="C223" s="4" t="s">
        <v>615</v>
      </c>
      <c r="D223" s="4" t="s">
        <v>616</v>
      </c>
      <c r="E223" s="4" t="s">
        <v>356</v>
      </c>
      <c r="F223" s="4" t="s">
        <v>356</v>
      </c>
      <c r="G223" s="4" t="s">
        <v>356</v>
      </c>
    </row>
    <row r="224" customFormat="false" ht="95.5" hidden="false" customHeight="false" outlineLevel="0" collapsed="false">
      <c r="A224" s="4" t="s">
        <v>617</v>
      </c>
      <c r="B224" s="4" t="s">
        <v>618</v>
      </c>
      <c r="C224" s="4" t="s">
        <v>619</v>
      </c>
      <c r="D224" s="4" t="s">
        <v>620</v>
      </c>
      <c r="E224" s="4" t="s">
        <v>356</v>
      </c>
      <c r="F224" s="4" t="s">
        <v>356</v>
      </c>
      <c r="G224" s="4" t="s">
        <v>356</v>
      </c>
    </row>
    <row r="225" customFormat="false" ht="95.5" hidden="false" customHeight="false" outlineLevel="0" collapsed="false">
      <c r="A225" s="4" t="s">
        <v>621</v>
      </c>
      <c r="B225" s="4" t="s">
        <v>622</v>
      </c>
      <c r="C225" s="4" t="s">
        <v>623</v>
      </c>
      <c r="D225" s="4" t="s">
        <v>624</v>
      </c>
      <c r="E225" s="4" t="s">
        <v>604</v>
      </c>
      <c r="F225" s="4" t="s">
        <v>604</v>
      </c>
      <c r="G225" s="4" t="s">
        <v>604</v>
      </c>
    </row>
    <row r="226" customFormat="false" ht="95.5" hidden="false" customHeight="false" outlineLevel="0" collapsed="false">
      <c r="A226" s="4" t="s">
        <v>625</v>
      </c>
      <c r="B226" s="4" t="s">
        <v>626</v>
      </c>
      <c r="C226" s="4" t="s">
        <v>627</v>
      </c>
      <c r="D226" s="4" t="s">
        <v>624</v>
      </c>
      <c r="E226" s="4" t="s">
        <v>604</v>
      </c>
      <c r="F226" s="4" t="s">
        <v>604</v>
      </c>
      <c r="G226" s="4" t="s">
        <v>604</v>
      </c>
    </row>
    <row r="227" customFormat="false" ht="95.5" hidden="false" customHeight="false" outlineLevel="0" collapsed="false">
      <c r="A227" s="4" t="s">
        <v>628</v>
      </c>
      <c r="B227" s="4" t="s">
        <v>629</v>
      </c>
      <c r="C227" s="4" t="s">
        <v>630</v>
      </c>
      <c r="D227" s="4" t="s">
        <v>631</v>
      </c>
      <c r="E227" s="4" t="s">
        <v>632</v>
      </c>
      <c r="F227" s="4" t="s">
        <v>632</v>
      </c>
      <c r="G227" s="4" t="s">
        <v>632</v>
      </c>
    </row>
    <row r="228" customFormat="false" ht="95.5" hidden="false" customHeight="false" outlineLevel="0" collapsed="false">
      <c r="A228" s="4" t="s">
        <v>633</v>
      </c>
      <c r="B228" s="4" t="s">
        <v>634</v>
      </c>
      <c r="C228" s="4" t="s">
        <v>635</v>
      </c>
      <c r="D228" s="4" t="s">
        <v>636</v>
      </c>
      <c r="E228" s="4" t="s">
        <v>632</v>
      </c>
      <c r="F228" s="4" t="s">
        <v>632</v>
      </c>
      <c r="G228" s="4" t="s">
        <v>632</v>
      </c>
    </row>
    <row r="229" customFormat="false" ht="95.5" hidden="false" customHeight="false" outlineLevel="0" collapsed="false">
      <c r="A229" s="4" t="s">
        <v>637</v>
      </c>
      <c r="B229" s="4" t="s">
        <v>638</v>
      </c>
      <c r="C229" s="4" t="s">
        <v>639</v>
      </c>
      <c r="D229" s="4" t="s">
        <v>640</v>
      </c>
      <c r="E229" s="4" t="s">
        <v>641</v>
      </c>
      <c r="F229" s="4" t="s">
        <v>641</v>
      </c>
      <c r="G229" s="4" t="s">
        <v>641</v>
      </c>
    </row>
    <row r="230" customFormat="false" ht="95.5" hidden="false" customHeight="false" outlineLevel="0" collapsed="false">
      <c r="A230" s="4" t="s">
        <v>642</v>
      </c>
      <c r="B230" s="4" t="s">
        <v>643</v>
      </c>
      <c r="C230" s="4" t="s">
        <v>644</v>
      </c>
      <c r="D230" s="4" t="s">
        <v>645</v>
      </c>
      <c r="E230" s="4" t="s">
        <v>641</v>
      </c>
      <c r="F230" s="4" t="s">
        <v>641</v>
      </c>
      <c r="G230" s="4" t="s">
        <v>641</v>
      </c>
    </row>
    <row r="231" customFormat="false" ht="15" hidden="false" customHeight="false" outlineLevel="0" collapsed="false">
      <c r="A231" s="2" t="s">
        <v>646</v>
      </c>
    </row>
    <row r="233" customFormat="false" ht="15" hidden="false" customHeight="false" outlineLevel="0" collapsed="false">
      <c r="A233" s="5" t="s">
        <v>647</v>
      </c>
    </row>
    <row r="234" customFormat="false" ht="15" hidden="false" customHeight="false" outlineLevel="0" collapsed="false">
      <c r="A234" s="3" t="s">
        <v>648</v>
      </c>
    </row>
    <row r="235" customFormat="false" ht="15" hidden="false" customHeight="false" outlineLevel="0" collapsed="false">
      <c r="A235" s="2" t="s">
        <v>649</v>
      </c>
      <c r="B235" s="2" t="s">
        <v>650</v>
      </c>
      <c r="C235" s="2" t="s">
        <v>651</v>
      </c>
      <c r="D235" s="2" t="s">
        <v>652</v>
      </c>
      <c r="E235" s="2" t="s">
        <v>653</v>
      </c>
    </row>
    <row r="236" customFormat="false" ht="122.35" hidden="false" customHeight="false" outlineLevel="0" collapsed="false">
      <c r="A236" s="4" t="s">
        <v>654</v>
      </c>
      <c r="B236" s="4" t="s">
        <v>655</v>
      </c>
      <c r="C236" s="4" t="s">
        <v>496</v>
      </c>
      <c r="D236" s="4" t="s">
        <v>656</v>
      </c>
      <c r="E236" s="4" t="s">
        <v>657</v>
      </c>
    </row>
    <row r="237" customFormat="false" ht="350.7" hidden="false" customHeight="false" outlineLevel="0" collapsed="false">
      <c r="A237" s="4" t="s">
        <v>658</v>
      </c>
      <c r="B237" s="4" t="s">
        <v>659</v>
      </c>
      <c r="C237" s="4" t="s">
        <v>660</v>
      </c>
      <c r="D237" s="4" t="s">
        <v>656</v>
      </c>
      <c r="E237" s="4" t="s">
        <v>661</v>
      </c>
    </row>
    <row r="239" customFormat="false" ht="15" hidden="false" customHeight="false" outlineLevel="0" collapsed="false">
      <c r="A239" s="5" t="s">
        <v>662</v>
      </c>
    </row>
    <row r="240" customFormat="false" ht="15" hidden="false" customHeight="false" outlineLevel="0" collapsed="false">
      <c r="A240" s="2" t="s">
        <v>98</v>
      </c>
      <c r="B240" s="2" t="s">
        <v>663</v>
      </c>
      <c r="C240" s="2" t="s">
        <v>664</v>
      </c>
      <c r="D240" s="2" t="s">
        <v>533</v>
      </c>
    </row>
    <row r="241" customFormat="false" ht="28.35" hidden="false" customHeight="false" outlineLevel="0" collapsed="false">
      <c r="A241" s="4" t="s">
        <v>665</v>
      </c>
      <c r="B241" s="4" t="s">
        <v>666</v>
      </c>
      <c r="C241" s="4" t="s">
        <v>667</v>
      </c>
      <c r="D241" s="4" t="s">
        <v>668</v>
      </c>
    </row>
    <row r="242" customFormat="false" ht="95.5" hidden="false" customHeight="false" outlineLevel="0" collapsed="false">
      <c r="A242" s="4" t="s">
        <v>669</v>
      </c>
      <c r="B242" s="4" t="s">
        <v>670</v>
      </c>
      <c r="C242" s="4" t="s">
        <v>671</v>
      </c>
      <c r="D242" s="4" t="s">
        <v>672</v>
      </c>
    </row>
    <row r="243" customFormat="false" ht="55.2" hidden="false" customHeight="false" outlineLevel="0" collapsed="false">
      <c r="A243" s="4" t="s">
        <v>673</v>
      </c>
      <c r="B243" s="4" t="s">
        <v>674</v>
      </c>
      <c r="C243" s="4" t="s">
        <v>675</v>
      </c>
      <c r="D243" s="4" t="s">
        <v>676</v>
      </c>
    </row>
    <row r="244" customFormat="false" ht="68.65" hidden="false" customHeight="false" outlineLevel="0" collapsed="false">
      <c r="A244" s="4" t="s">
        <v>677</v>
      </c>
      <c r="B244" s="4" t="s">
        <v>678</v>
      </c>
      <c r="C244" s="4" t="s">
        <v>679</v>
      </c>
      <c r="D244" s="4" t="s">
        <v>680</v>
      </c>
    </row>
    <row r="245" customFormat="false" ht="41.75" hidden="false" customHeight="false" outlineLevel="0" collapsed="false">
      <c r="A245" s="4" t="s">
        <v>681</v>
      </c>
      <c r="B245" s="4" t="s">
        <v>682</v>
      </c>
      <c r="C245" s="4" t="s">
        <v>683</v>
      </c>
      <c r="D245" s="4" t="s">
        <v>684</v>
      </c>
    </row>
    <row r="246" customFormat="false" ht="41.75" hidden="false" customHeight="false" outlineLevel="0" collapsed="false">
      <c r="A246" s="4" t="s">
        <v>685</v>
      </c>
      <c r="B246" s="4" t="s">
        <v>686</v>
      </c>
      <c r="C246" s="4" t="s">
        <v>687</v>
      </c>
      <c r="D246" s="4" t="s">
        <v>688</v>
      </c>
    </row>
    <row r="247" customFormat="false" ht="41.75" hidden="false" customHeight="false" outlineLevel="0" collapsed="false">
      <c r="A247" s="4" t="s">
        <v>689</v>
      </c>
      <c r="B247" s="4" t="s">
        <v>690</v>
      </c>
      <c r="C247" s="4" t="s">
        <v>691</v>
      </c>
      <c r="D247" s="4" t="s">
        <v>692</v>
      </c>
    </row>
    <row r="248" customFormat="false" ht="55.2" hidden="false" customHeight="false" outlineLevel="0" collapsed="false">
      <c r="A248" s="4" t="s">
        <v>693</v>
      </c>
      <c r="B248" s="4" t="s">
        <v>694</v>
      </c>
      <c r="C248" s="4" t="s">
        <v>695</v>
      </c>
      <c r="D248" s="4" t="s">
        <v>696</v>
      </c>
    </row>
    <row r="250" customFormat="false" ht="15" hidden="false" customHeight="false" outlineLevel="0" collapsed="false">
      <c r="A250" s="5" t="s">
        <v>697</v>
      </c>
    </row>
    <row r="251" customFormat="false" ht="15" hidden="false" customHeight="false" outlineLevel="0" collapsed="false">
      <c r="A251" s="3" t="s">
        <v>698</v>
      </c>
    </row>
    <row r="252" customFormat="false" ht="15" hidden="false" customHeight="false" outlineLevel="0" collapsed="false">
      <c r="A252" s="3" t="s">
        <v>699</v>
      </c>
    </row>
    <row r="253" customFormat="false" ht="15" hidden="false" customHeight="false" outlineLevel="0" collapsed="false">
      <c r="A253" s="3" t="s">
        <v>700</v>
      </c>
    </row>
    <row r="254" customFormat="false" ht="15" hidden="false" customHeight="false" outlineLevel="0" collapsed="false">
      <c r="A254" s="3" t="s">
        <v>701</v>
      </c>
    </row>
    <row r="255" customFormat="false" ht="15" hidden="false" customHeight="false" outlineLevel="0" collapsed="false">
      <c r="A255" s="3" t="s">
        <v>702</v>
      </c>
    </row>
    <row r="256" customFormat="false" ht="15" hidden="false" customHeight="false" outlineLevel="0" collapsed="false">
      <c r="A256" s="2" t="s">
        <v>703</v>
      </c>
      <c r="B256" s="2" t="s">
        <v>704</v>
      </c>
      <c r="C256" s="2" t="s">
        <v>705</v>
      </c>
      <c r="D256" s="2" t="s">
        <v>706</v>
      </c>
      <c r="E256" s="2" t="s">
        <v>707</v>
      </c>
      <c r="F256" s="2" t="s">
        <v>708</v>
      </c>
      <c r="G256" s="2" t="s">
        <v>709</v>
      </c>
    </row>
    <row r="257" customFormat="false" ht="28.35" hidden="false" customHeight="false" outlineLevel="0" collapsed="false">
      <c r="A257" s="4" t="s">
        <v>710</v>
      </c>
      <c r="B257" s="4" t="s">
        <v>711</v>
      </c>
      <c r="C257" s="6" t="n">
        <v>16</v>
      </c>
      <c r="D257" s="6" t="n">
        <v>1341297.54</v>
      </c>
      <c r="E257" s="6" t="n">
        <v>3957238.64</v>
      </c>
      <c r="F257" s="6" t="n">
        <v>1341297.54</v>
      </c>
      <c r="G257" s="6" t="n">
        <v>3957238.64</v>
      </c>
    </row>
    <row r="258" customFormat="false" ht="28.35" hidden="false" customHeight="false" outlineLevel="0" collapsed="false">
      <c r="A258" s="4" t="s">
        <v>712</v>
      </c>
      <c r="B258" s="4" t="s">
        <v>713</v>
      </c>
      <c r="C258" s="6" t="n">
        <v>9</v>
      </c>
      <c r="D258" s="6" t="n">
        <v>652819.95</v>
      </c>
      <c r="E258" s="6" t="n">
        <v>652819.95</v>
      </c>
      <c r="F258" s="6" t="n">
        <v>652819.95</v>
      </c>
      <c r="G258" s="4" t="s">
        <v>714</v>
      </c>
    </row>
    <row r="259" customFormat="false" ht="28.35" hidden="false" customHeight="false" outlineLevel="0" collapsed="false">
      <c r="A259" s="4" t="s">
        <v>715</v>
      </c>
      <c r="B259" s="4" t="s">
        <v>716</v>
      </c>
      <c r="C259" s="6" t="n">
        <v>6</v>
      </c>
      <c r="D259" s="6" t="n">
        <v>748767.51</v>
      </c>
      <c r="E259" s="6" t="n">
        <v>618961.22</v>
      </c>
      <c r="F259" s="6" t="n">
        <v>618961.22</v>
      </c>
      <c r="G259" s="6" t="n">
        <v>1147259.93</v>
      </c>
    </row>
    <row r="260" customFormat="false" ht="28.35" hidden="false" customHeight="false" outlineLevel="0" collapsed="false">
      <c r="A260" s="4" t="s">
        <v>717</v>
      </c>
      <c r="B260" s="4" t="s">
        <v>716</v>
      </c>
      <c r="C260" s="6" t="n">
        <v>7</v>
      </c>
      <c r="D260" s="6" t="n">
        <v>908979.5</v>
      </c>
      <c r="E260" s="6" t="n">
        <v>1133297.54</v>
      </c>
      <c r="F260" s="6" t="n">
        <v>752001.97</v>
      </c>
      <c r="G260" s="6" t="n">
        <v>1133297.54</v>
      </c>
    </row>
    <row r="261" customFormat="false" ht="28.35" hidden="false" customHeight="false" outlineLevel="0" collapsed="false">
      <c r="A261" s="4" t="s">
        <v>718</v>
      </c>
      <c r="B261" s="4" t="s">
        <v>716</v>
      </c>
      <c r="C261" s="6" t="n">
        <v>9</v>
      </c>
      <c r="D261" s="6" t="n">
        <v>1211637.29</v>
      </c>
      <c r="E261" s="6" t="n">
        <v>1211637.29</v>
      </c>
      <c r="F261" s="6" t="n">
        <v>1211637.29</v>
      </c>
      <c r="G261" s="6" t="n">
        <v>1211637.29</v>
      </c>
    </row>
    <row r="263" customFormat="false" ht="15" hidden="false" customHeight="false" outlineLevel="0" collapsed="false">
      <c r="A263" s="5" t="s">
        <v>719</v>
      </c>
    </row>
    <row r="264" customFormat="false" ht="15" hidden="false" customHeight="false" outlineLevel="0" collapsed="false">
      <c r="A264" s="2" t="s">
        <v>720</v>
      </c>
      <c r="B264" s="2" t="s">
        <v>721</v>
      </c>
      <c r="C264" s="2" t="s">
        <v>722</v>
      </c>
      <c r="D264" s="2" t="s">
        <v>723</v>
      </c>
    </row>
    <row r="265" customFormat="false" ht="55.2" hidden="false" customHeight="false" outlineLevel="0" collapsed="false">
      <c r="A265" s="4" t="s">
        <v>724</v>
      </c>
      <c r="B265" s="4" t="s">
        <v>725</v>
      </c>
      <c r="C265" s="4" t="s">
        <v>726</v>
      </c>
      <c r="D265" s="4" t="s">
        <v>727</v>
      </c>
    </row>
    <row r="266" customFormat="false" ht="55.2" hidden="false" customHeight="false" outlineLevel="0" collapsed="false">
      <c r="A266" s="4" t="s">
        <v>728</v>
      </c>
      <c r="B266" s="4" t="s">
        <v>729</v>
      </c>
      <c r="C266" s="4" t="s">
        <v>726</v>
      </c>
      <c r="D266" s="4" t="s">
        <v>730</v>
      </c>
    </row>
    <row r="267" customFormat="false" ht="41.75" hidden="false" customHeight="false" outlineLevel="0" collapsed="false">
      <c r="A267" s="4" t="s">
        <v>731</v>
      </c>
      <c r="B267" s="4" t="s">
        <v>732</v>
      </c>
      <c r="C267" s="4" t="s">
        <v>726</v>
      </c>
      <c r="D267" s="4" t="s">
        <v>730</v>
      </c>
    </row>
    <row r="268" customFormat="false" ht="55.2" hidden="false" customHeight="false" outlineLevel="0" collapsed="false">
      <c r="A268" s="4" t="s">
        <v>733</v>
      </c>
      <c r="B268" s="4" t="s">
        <v>734</v>
      </c>
      <c r="C268" s="4" t="s">
        <v>726</v>
      </c>
      <c r="D268" s="4" t="s">
        <v>735</v>
      </c>
    </row>
    <row r="269" customFormat="false" ht="55.2" hidden="false" customHeight="false" outlineLevel="0" collapsed="false">
      <c r="A269" s="4" t="s">
        <v>736</v>
      </c>
      <c r="B269" s="4" t="s">
        <v>737</v>
      </c>
      <c r="C269" s="4" t="s">
        <v>726</v>
      </c>
      <c r="D269" s="4" t="s">
        <v>735</v>
      </c>
    </row>
    <row r="270" customFormat="false" ht="55.2" hidden="false" customHeight="false" outlineLevel="0" collapsed="false">
      <c r="A270" s="4" t="s">
        <v>738</v>
      </c>
      <c r="B270" s="4" t="s">
        <v>739</v>
      </c>
      <c r="C270" s="4" t="s">
        <v>726</v>
      </c>
      <c r="D270" s="4" t="s">
        <v>740</v>
      </c>
    </row>
    <row r="271" customFormat="false" ht="55.2" hidden="false" customHeight="false" outlineLevel="0" collapsed="false">
      <c r="A271" s="4" t="s">
        <v>741</v>
      </c>
      <c r="B271" s="4" t="s">
        <v>742</v>
      </c>
      <c r="C271" s="4" t="s">
        <v>726</v>
      </c>
      <c r="D271" s="4" t="s">
        <v>740</v>
      </c>
    </row>
    <row r="272" customFormat="false" ht="68.65" hidden="false" customHeight="false" outlineLevel="0" collapsed="false">
      <c r="A272" s="4" t="s">
        <v>743</v>
      </c>
      <c r="B272" s="4" t="s">
        <v>744</v>
      </c>
      <c r="C272" s="4" t="s">
        <v>726</v>
      </c>
      <c r="D272" s="4" t="s">
        <v>740</v>
      </c>
    </row>
    <row r="273" customFormat="false" ht="68.65" hidden="false" customHeight="false" outlineLevel="0" collapsed="false">
      <c r="A273" s="4" t="s">
        <v>745</v>
      </c>
      <c r="B273" s="4" t="s">
        <v>746</v>
      </c>
      <c r="C273" s="4" t="s">
        <v>726</v>
      </c>
      <c r="D273" s="4" t="s">
        <v>740</v>
      </c>
    </row>
    <row r="274" customFormat="false" ht="68.65" hidden="false" customHeight="false" outlineLevel="0" collapsed="false">
      <c r="A274" s="4" t="s">
        <v>747</v>
      </c>
      <c r="B274" s="4" t="s">
        <v>748</v>
      </c>
      <c r="C274" s="4" t="s">
        <v>726</v>
      </c>
      <c r="D274" s="4" t="s">
        <v>740</v>
      </c>
    </row>
    <row r="275" customFormat="false" ht="55.2" hidden="false" customHeight="false" outlineLevel="0" collapsed="false">
      <c r="A275" s="4" t="s">
        <v>749</v>
      </c>
      <c r="B275" s="4" t="s">
        <v>750</v>
      </c>
      <c r="C275" s="4" t="s">
        <v>726</v>
      </c>
      <c r="D275" s="4" t="s">
        <v>740</v>
      </c>
    </row>
    <row r="276" customFormat="false" ht="68.65" hidden="false" customHeight="false" outlineLevel="0" collapsed="false">
      <c r="A276" s="4" t="s">
        <v>751</v>
      </c>
      <c r="B276" s="4" t="s">
        <v>752</v>
      </c>
      <c r="C276" s="4" t="s">
        <v>753</v>
      </c>
      <c r="D276" s="4" t="s">
        <v>754</v>
      </c>
    </row>
    <row r="278" customFormat="false" ht="15" hidden="false" customHeight="false" outlineLevel="0" collapsed="false">
      <c r="A278" s="5" t="s">
        <v>755</v>
      </c>
    </row>
    <row r="279" customFormat="false" ht="15" hidden="false" customHeight="false" outlineLevel="0" collapsed="false">
      <c r="A279" s="2" t="s">
        <v>756</v>
      </c>
      <c r="B279" s="2" t="s">
        <v>576</v>
      </c>
      <c r="C279" s="2" t="s">
        <v>757</v>
      </c>
      <c r="D279" s="2" t="s">
        <v>758</v>
      </c>
    </row>
    <row r="280" customFormat="false" ht="41.75" hidden="false" customHeight="false" outlineLevel="0" collapsed="false">
      <c r="A280" s="4" t="s">
        <v>759</v>
      </c>
      <c r="B280" s="4" t="s">
        <v>760</v>
      </c>
      <c r="C280" s="4" t="s">
        <v>761</v>
      </c>
      <c r="D280" s="6" t="n">
        <v>0.0684709084304367</v>
      </c>
    </row>
    <row r="281" customFormat="false" ht="41.75" hidden="false" customHeight="false" outlineLevel="0" collapsed="false">
      <c r="A281" s="4" t="s">
        <v>759</v>
      </c>
      <c r="B281" s="4" t="s">
        <v>762</v>
      </c>
      <c r="C281" s="4" t="s">
        <v>763</v>
      </c>
      <c r="D281" s="6" t="n">
        <v>0.164053707514993</v>
      </c>
    </row>
    <row r="282" customFormat="false" ht="41.75" hidden="false" customHeight="false" outlineLevel="0" collapsed="false">
      <c r="A282" s="4" t="s">
        <v>764</v>
      </c>
      <c r="B282" s="4" t="s">
        <v>760</v>
      </c>
      <c r="C282" s="4" t="s">
        <v>765</v>
      </c>
      <c r="D282" s="6" t="n">
        <v>0.0363688968844175</v>
      </c>
    </row>
    <row r="283" customFormat="false" ht="41.75" hidden="false" customHeight="false" outlineLevel="0" collapsed="false">
      <c r="A283" s="4" t="s">
        <v>764</v>
      </c>
      <c r="B283" s="4" t="s">
        <v>762</v>
      </c>
      <c r="C283" s="4" t="s">
        <v>766</v>
      </c>
      <c r="D283" s="6" t="n">
        <v>0.206362687019442</v>
      </c>
    </row>
    <row r="284" customFormat="false" ht="41.75" hidden="false" customHeight="false" outlineLevel="0" collapsed="false">
      <c r="A284" s="4" t="s">
        <v>767</v>
      </c>
      <c r="B284" s="4" t="s">
        <v>760</v>
      </c>
      <c r="C284" s="4" t="s">
        <v>768</v>
      </c>
      <c r="D284" s="6" t="n">
        <v>0.052214560818681</v>
      </c>
    </row>
    <row r="285" customFormat="false" ht="41.75" hidden="false" customHeight="false" outlineLevel="0" collapsed="false">
      <c r="A285" s="4" t="s">
        <v>767</v>
      </c>
      <c r="B285" s="4" t="s">
        <v>762</v>
      </c>
      <c r="C285" s="4" t="s">
        <v>769</v>
      </c>
      <c r="D285" s="6" t="n">
        <v>0.119058053362313</v>
      </c>
    </row>
    <row r="286" customFormat="false" ht="41.75" hidden="false" customHeight="false" outlineLevel="0" collapsed="false">
      <c r="A286" s="4" t="s">
        <v>770</v>
      </c>
      <c r="B286" s="4" t="s">
        <v>760</v>
      </c>
      <c r="C286" s="4" t="s">
        <v>771</v>
      </c>
      <c r="D286" s="6" t="n">
        <v>0.0406920691613907</v>
      </c>
    </row>
    <row r="287" customFormat="false" ht="41.75" hidden="false" customHeight="false" outlineLevel="0" collapsed="false">
      <c r="A287" s="4" t="s">
        <v>770</v>
      </c>
      <c r="B287" s="4" t="s">
        <v>762</v>
      </c>
      <c r="C287" s="4" t="s">
        <v>772</v>
      </c>
      <c r="D287" s="6" t="n">
        <v>0.0722290853789841</v>
      </c>
    </row>
    <row r="288" customFormat="false" ht="41.75" hidden="false" customHeight="false" outlineLevel="0" collapsed="false">
      <c r="A288" s="4" t="s">
        <v>773</v>
      </c>
      <c r="B288" s="4" t="s">
        <v>760</v>
      </c>
      <c r="C288" s="4" t="s">
        <v>774</v>
      </c>
      <c r="D288" s="6" t="n">
        <v>0.0357146620789436</v>
      </c>
    </row>
    <row r="289" customFormat="false" ht="41.75" hidden="false" customHeight="false" outlineLevel="0" collapsed="false">
      <c r="A289" s="4" t="s">
        <v>773</v>
      </c>
      <c r="B289" s="4" t="s">
        <v>762</v>
      </c>
      <c r="C289" s="4" t="s">
        <v>775</v>
      </c>
      <c r="D289" s="6" t="n">
        <v>0.0882323267968679</v>
      </c>
    </row>
    <row r="291" customFormat="false" ht="15" hidden="false" customHeight="false" outlineLevel="0" collapsed="false">
      <c r="A291" s="5" t="s">
        <v>776</v>
      </c>
    </row>
    <row r="292" customFormat="false" ht="15" hidden="false" customHeight="false" outlineLevel="0" collapsed="false">
      <c r="A292" s="2" t="s">
        <v>777</v>
      </c>
      <c r="B292" s="2" t="s">
        <v>778</v>
      </c>
      <c r="C292" s="2" t="s">
        <v>779</v>
      </c>
      <c r="D292" s="2" t="s">
        <v>269</v>
      </c>
      <c r="E292" s="2" t="s">
        <v>533</v>
      </c>
    </row>
    <row r="293" customFormat="false" ht="82.05" hidden="false" customHeight="false" outlineLevel="0" collapsed="false">
      <c r="A293" s="4" t="s">
        <v>780</v>
      </c>
      <c r="B293" s="4" t="s">
        <v>781</v>
      </c>
      <c r="C293" s="4" t="s">
        <v>782</v>
      </c>
      <c r="D293" s="4" t="s">
        <v>783</v>
      </c>
      <c r="E293" s="4" t="s">
        <v>784</v>
      </c>
    </row>
    <row r="294" customFormat="false" ht="95.5" hidden="false" customHeight="false" outlineLevel="0" collapsed="false">
      <c r="A294" s="4" t="s">
        <v>785</v>
      </c>
      <c r="B294" s="4" t="s">
        <v>786</v>
      </c>
      <c r="C294" s="4" t="s">
        <v>787</v>
      </c>
      <c r="D294" s="4" t="s">
        <v>788</v>
      </c>
      <c r="E294" s="4" t="s">
        <v>789</v>
      </c>
    </row>
    <row r="295" customFormat="false" ht="82.05" hidden="false" customHeight="false" outlineLevel="0" collapsed="false">
      <c r="A295" s="4" t="s">
        <v>790</v>
      </c>
      <c r="B295" s="4" t="s">
        <v>791</v>
      </c>
      <c r="C295" s="4" t="s">
        <v>317</v>
      </c>
      <c r="D295" s="4" t="s">
        <v>792</v>
      </c>
      <c r="E295" s="4" t="s">
        <v>793</v>
      </c>
    </row>
    <row r="296" customFormat="false" ht="41.75" hidden="false" customHeight="false" outlineLevel="0" collapsed="false">
      <c r="A296" s="4" t="s">
        <v>794</v>
      </c>
      <c r="B296" s="4" t="s">
        <v>795</v>
      </c>
      <c r="C296" s="4" t="s">
        <v>796</v>
      </c>
      <c r="D296" s="4" t="s">
        <v>797</v>
      </c>
      <c r="E296" s="4" t="s">
        <v>798</v>
      </c>
    </row>
    <row r="297" customFormat="false" ht="28.35" hidden="false" customHeight="false" outlineLevel="0" collapsed="false">
      <c r="A297" s="4" t="s">
        <v>799</v>
      </c>
      <c r="B297" s="4" t="s">
        <v>800</v>
      </c>
      <c r="C297" s="4" t="s">
        <v>801</v>
      </c>
      <c r="D297" s="4" t="s">
        <v>802</v>
      </c>
      <c r="E297" s="4" t="s">
        <v>798</v>
      </c>
    </row>
    <row r="298" customFormat="false" ht="28.35" hidden="false" customHeight="false" outlineLevel="0" collapsed="false">
      <c r="A298" s="4" t="s">
        <v>803</v>
      </c>
      <c r="B298" s="4" t="s">
        <v>804</v>
      </c>
      <c r="C298" s="4" t="s">
        <v>805</v>
      </c>
      <c r="D298" s="4" t="s">
        <v>806</v>
      </c>
      <c r="E298" s="4" t="s">
        <v>798</v>
      </c>
    </row>
    <row r="299" customFormat="false" ht="28.35" hidden="false" customHeight="false" outlineLevel="0" collapsed="false">
      <c r="A299" s="4" t="s">
        <v>807</v>
      </c>
      <c r="B299" s="4" t="s">
        <v>808</v>
      </c>
      <c r="C299" s="4" t="s">
        <v>809</v>
      </c>
      <c r="D299" s="4" t="s">
        <v>810</v>
      </c>
      <c r="E299" s="4" t="s">
        <v>811</v>
      </c>
    </row>
    <row r="300" customFormat="false" ht="28.35" hidden="false" customHeight="false" outlineLevel="0" collapsed="false">
      <c r="A300" s="4" t="s">
        <v>812</v>
      </c>
      <c r="B300" s="4" t="s">
        <v>813</v>
      </c>
      <c r="C300" s="4" t="s">
        <v>814</v>
      </c>
      <c r="D300" s="4" t="s">
        <v>815</v>
      </c>
      <c r="E300" s="4" t="s">
        <v>811</v>
      </c>
    </row>
    <row r="301" customFormat="false" ht="41.75" hidden="false" customHeight="false" outlineLevel="0" collapsed="false">
      <c r="A301" s="4" t="s">
        <v>816</v>
      </c>
      <c r="B301" s="4" t="s">
        <v>817</v>
      </c>
      <c r="C301" s="4" t="s">
        <v>818</v>
      </c>
      <c r="D301" s="4" t="s">
        <v>819</v>
      </c>
      <c r="E301" s="4" t="s">
        <v>820</v>
      </c>
    </row>
    <row r="302" customFormat="false" ht="41.75" hidden="false" customHeight="false" outlineLevel="0" collapsed="false">
      <c r="A302" s="4" t="s">
        <v>821</v>
      </c>
      <c r="B302" s="4" t="s">
        <v>822</v>
      </c>
      <c r="C302" s="4" t="s">
        <v>801</v>
      </c>
      <c r="D302" s="4" t="s">
        <v>164</v>
      </c>
      <c r="E302" s="4" t="s">
        <v>823</v>
      </c>
    </row>
    <row r="303" customFormat="false" ht="28.35" hidden="false" customHeight="false" outlineLevel="0" collapsed="false">
      <c r="A303" s="4" t="s">
        <v>824</v>
      </c>
      <c r="B303" s="4" t="s">
        <v>825</v>
      </c>
      <c r="C303" s="4" t="s">
        <v>826</v>
      </c>
      <c r="D303" s="4" t="s">
        <v>827</v>
      </c>
      <c r="E303" s="4" t="s">
        <v>828</v>
      </c>
    </row>
    <row r="304" customFormat="false" ht="15" hidden="false" customHeight="false" outlineLevel="0" collapsed="false">
      <c r="A304" s="4" t="s">
        <v>829</v>
      </c>
      <c r="B304" s="4" t="s">
        <v>830</v>
      </c>
      <c r="C304" s="4" t="s">
        <v>831</v>
      </c>
      <c r="D304" s="4" t="s">
        <v>832</v>
      </c>
      <c r="E304" s="4" t="s">
        <v>833</v>
      </c>
    </row>
    <row r="305" customFormat="false" ht="15" hidden="false" customHeight="false" outlineLevel="0" collapsed="false">
      <c r="A305" s="4" t="s">
        <v>834</v>
      </c>
      <c r="B305" s="4" t="s">
        <v>835</v>
      </c>
      <c r="C305" s="4" t="s">
        <v>836</v>
      </c>
      <c r="D305" s="4" t="s">
        <v>837</v>
      </c>
      <c r="E305" s="4" t="s">
        <v>838</v>
      </c>
    </row>
    <row r="306" customFormat="false" ht="122.35" hidden="false" customHeight="false" outlineLevel="0" collapsed="false">
      <c r="A306" s="4" t="s">
        <v>183</v>
      </c>
      <c r="B306" s="4" t="s">
        <v>839</v>
      </c>
      <c r="C306" s="4" t="s">
        <v>840</v>
      </c>
      <c r="D306" s="4" t="s">
        <v>185</v>
      </c>
      <c r="E306" s="4" t="s">
        <v>841</v>
      </c>
    </row>
    <row r="307" customFormat="false" ht="243.25" hidden="false" customHeight="false" outlineLevel="0" collapsed="false">
      <c r="A307" s="4" t="s">
        <v>842</v>
      </c>
      <c r="B307" s="4" t="s">
        <v>843</v>
      </c>
      <c r="C307" s="4" t="s">
        <v>844</v>
      </c>
      <c r="D307" s="4" t="s">
        <v>845</v>
      </c>
      <c r="E307" s="4" t="s">
        <v>846</v>
      </c>
    </row>
    <row r="308" customFormat="false" ht="55.2" hidden="false" customHeight="false" outlineLevel="0" collapsed="false">
      <c r="A308" s="4" t="s">
        <v>847</v>
      </c>
      <c r="B308" s="4" t="s">
        <v>848</v>
      </c>
      <c r="C308" s="4" t="s">
        <v>849</v>
      </c>
      <c r="D308" s="4" t="s">
        <v>850</v>
      </c>
      <c r="E308" s="4" t="s">
        <v>851</v>
      </c>
    </row>
    <row r="309" customFormat="false" ht="95.5" hidden="false" customHeight="false" outlineLevel="0" collapsed="false">
      <c r="A309" s="4" t="s">
        <v>852</v>
      </c>
      <c r="B309" s="4" t="s">
        <v>853</v>
      </c>
      <c r="C309" s="4" t="s">
        <v>854</v>
      </c>
      <c r="D309" s="4" t="s">
        <v>855</v>
      </c>
      <c r="E309" s="4" t="s">
        <v>856</v>
      </c>
    </row>
    <row r="310" customFormat="false" ht="122.35" hidden="false" customHeight="false" outlineLevel="0" collapsed="false">
      <c r="A310" s="4" t="s">
        <v>857</v>
      </c>
      <c r="B310" s="4" t="s">
        <v>858</v>
      </c>
      <c r="C310" s="4" t="s">
        <v>859</v>
      </c>
      <c r="D310" s="4" t="s">
        <v>860</v>
      </c>
      <c r="E310" s="4" t="s">
        <v>861</v>
      </c>
    </row>
    <row r="311" customFormat="false" ht="68.65" hidden="false" customHeight="false" outlineLevel="0" collapsed="false">
      <c r="A311" s="4" t="s">
        <v>862</v>
      </c>
      <c r="B311" s="4" t="s">
        <v>863</v>
      </c>
      <c r="C311" s="4" t="s">
        <v>451</v>
      </c>
      <c r="D311" s="4" t="s">
        <v>864</v>
      </c>
      <c r="E311" s="4" t="s">
        <v>865</v>
      </c>
    </row>
    <row r="312" customFormat="false" ht="95.5" hidden="false" customHeight="false" outlineLevel="0" collapsed="false">
      <c r="A312" s="4" t="s">
        <v>866</v>
      </c>
      <c r="B312" s="4" t="s">
        <v>867</v>
      </c>
      <c r="C312" s="4" t="s">
        <v>868</v>
      </c>
      <c r="D312" s="4" t="s">
        <v>869</v>
      </c>
      <c r="E312" s="4" t="s">
        <v>870</v>
      </c>
    </row>
    <row r="313" customFormat="false" ht="55.2" hidden="false" customHeight="false" outlineLevel="0" collapsed="false">
      <c r="A313" s="4" t="s">
        <v>871</v>
      </c>
      <c r="B313" s="4" t="s">
        <v>872</v>
      </c>
      <c r="C313" s="4" t="s">
        <v>873</v>
      </c>
      <c r="D313" s="4" t="s">
        <v>874</v>
      </c>
      <c r="E313" s="4" t="s">
        <v>875</v>
      </c>
    </row>
    <row r="314" customFormat="false" ht="95.5" hidden="false" customHeight="false" outlineLevel="0" collapsed="false">
      <c r="A314" s="4" t="s">
        <v>188</v>
      </c>
      <c r="B314" s="4" t="s">
        <v>876</v>
      </c>
      <c r="C314" s="4" t="s">
        <v>877</v>
      </c>
      <c r="D314" s="4" t="s">
        <v>878</v>
      </c>
      <c r="E314" s="4" t="s">
        <v>879</v>
      </c>
    </row>
    <row r="315" customFormat="false" ht="68.65" hidden="false" customHeight="false" outlineLevel="0" collapsed="false">
      <c r="A315" s="4" t="s">
        <v>880</v>
      </c>
      <c r="B315" s="4" t="s">
        <v>881</v>
      </c>
      <c r="C315" s="4" t="s">
        <v>882</v>
      </c>
      <c r="D315" s="4" t="s">
        <v>883</v>
      </c>
      <c r="E315" s="4" t="s">
        <v>884</v>
      </c>
    </row>
    <row r="316" customFormat="false" ht="122.35" hidden="false" customHeight="false" outlineLevel="0" collapsed="false">
      <c r="A316" s="4" t="s">
        <v>885</v>
      </c>
      <c r="B316" s="4" t="s">
        <v>886</v>
      </c>
      <c r="C316" s="4" t="s">
        <v>887</v>
      </c>
      <c r="D316" s="4" t="s">
        <v>888</v>
      </c>
      <c r="E316" s="4" t="s">
        <v>889</v>
      </c>
    </row>
    <row r="317" customFormat="false" ht="162.65" hidden="false" customHeight="false" outlineLevel="0" collapsed="false">
      <c r="A317" s="4" t="s">
        <v>890</v>
      </c>
      <c r="B317" s="4" t="s">
        <v>891</v>
      </c>
      <c r="C317" s="4" t="s">
        <v>892</v>
      </c>
      <c r="D317" s="4" t="s">
        <v>893</v>
      </c>
      <c r="E317" s="4" t="s">
        <v>894</v>
      </c>
    </row>
    <row r="318" customFormat="false" ht="95.5" hidden="false" customHeight="false" outlineLevel="0" collapsed="false">
      <c r="A318" s="4" t="s">
        <v>895</v>
      </c>
      <c r="B318" s="4" t="s">
        <v>896</v>
      </c>
      <c r="C318" s="4" t="s">
        <v>897</v>
      </c>
      <c r="D318" s="4" t="s">
        <v>898</v>
      </c>
      <c r="E318" s="4" t="s">
        <v>899</v>
      </c>
    </row>
    <row r="319" customFormat="false" ht="176.1" hidden="false" customHeight="false" outlineLevel="0" collapsed="false">
      <c r="A319" s="4" t="s">
        <v>900</v>
      </c>
      <c r="B319" s="4" t="s">
        <v>901</v>
      </c>
      <c r="C319" s="4" t="s">
        <v>902</v>
      </c>
      <c r="D319" s="4" t="s">
        <v>903</v>
      </c>
      <c r="E319" s="4" t="s">
        <v>904</v>
      </c>
    </row>
    <row r="320" customFormat="false" ht="458.2" hidden="false" customHeight="false" outlineLevel="0" collapsed="false">
      <c r="A320" s="4" t="s">
        <v>905</v>
      </c>
      <c r="B320" s="4" t="s">
        <v>906</v>
      </c>
      <c r="C320" s="4" t="s">
        <v>907</v>
      </c>
      <c r="D320" s="4" t="s">
        <v>908</v>
      </c>
      <c r="E320" s="4" t="s">
        <v>909</v>
      </c>
    </row>
    <row r="321" customFormat="false" ht="364.15" hidden="false" customHeight="false" outlineLevel="0" collapsed="false">
      <c r="A321" s="4" t="s">
        <v>910</v>
      </c>
      <c r="B321" s="4" t="s">
        <v>911</v>
      </c>
      <c r="C321" s="4" t="s">
        <v>912</v>
      </c>
      <c r="D321" s="4" t="s">
        <v>913</v>
      </c>
      <c r="E321" s="4" t="s">
        <v>914</v>
      </c>
    </row>
    <row r="322" customFormat="false" ht="135.8" hidden="false" customHeight="false" outlineLevel="0" collapsed="false">
      <c r="A322" s="4" t="s">
        <v>915</v>
      </c>
      <c r="B322" s="4" t="s">
        <v>916</v>
      </c>
      <c r="C322" s="4" t="s">
        <v>917</v>
      </c>
      <c r="D322" s="4" t="s">
        <v>918</v>
      </c>
      <c r="E322" s="4" t="s">
        <v>919</v>
      </c>
    </row>
    <row r="323" customFormat="false" ht="162.65" hidden="false" customHeight="false" outlineLevel="0" collapsed="false">
      <c r="A323" s="4" t="s">
        <v>920</v>
      </c>
      <c r="B323" s="4" t="s">
        <v>921</v>
      </c>
      <c r="C323" s="4" t="s">
        <v>922</v>
      </c>
      <c r="D323" s="4" t="s">
        <v>923</v>
      </c>
      <c r="E323" s="4" t="s">
        <v>924</v>
      </c>
    </row>
    <row r="324" customFormat="false" ht="377.6" hidden="false" customHeight="false" outlineLevel="0" collapsed="false">
      <c r="A324" s="4" t="s">
        <v>925</v>
      </c>
      <c r="B324" s="4" t="s">
        <v>926</v>
      </c>
      <c r="C324" s="4" t="s">
        <v>927</v>
      </c>
      <c r="D324" s="4" t="s">
        <v>928</v>
      </c>
      <c r="E324" s="4" t="s">
        <v>929</v>
      </c>
    </row>
    <row r="325" customFormat="false" ht="458.2" hidden="false" customHeight="false" outlineLevel="0" collapsed="false">
      <c r="A325" s="4" t="s">
        <v>930</v>
      </c>
      <c r="B325" s="4" t="s">
        <v>931</v>
      </c>
      <c r="C325" s="4" t="s">
        <v>932</v>
      </c>
      <c r="D325" s="4" t="s">
        <v>933</v>
      </c>
      <c r="E325" s="4" t="s">
        <v>934</v>
      </c>
    </row>
    <row r="326" customFormat="false" ht="229.85" hidden="false" customHeight="false" outlineLevel="0" collapsed="false">
      <c r="A326" s="4" t="s">
        <v>935</v>
      </c>
      <c r="B326" s="4" t="s">
        <v>936</v>
      </c>
      <c r="C326" s="4" t="s">
        <v>937</v>
      </c>
      <c r="D326" s="4" t="s">
        <v>938</v>
      </c>
      <c r="E326" s="4" t="s">
        <v>939</v>
      </c>
    </row>
    <row r="327" customFormat="false" ht="176.1" hidden="false" customHeight="false" outlineLevel="0" collapsed="false">
      <c r="A327" s="4" t="s">
        <v>940</v>
      </c>
      <c r="B327" s="4" t="s">
        <v>941</v>
      </c>
      <c r="C327" s="4" t="s">
        <v>942</v>
      </c>
      <c r="D327" s="4" t="s">
        <v>943</v>
      </c>
      <c r="E327" s="4" t="s">
        <v>944</v>
      </c>
    </row>
    <row r="328" customFormat="false" ht="229.85" hidden="false" customHeight="false" outlineLevel="0" collapsed="false">
      <c r="A328" s="4" t="s">
        <v>945</v>
      </c>
      <c r="B328" s="4" t="s">
        <v>946</v>
      </c>
      <c r="C328" s="4" t="s">
        <v>947</v>
      </c>
      <c r="D328" s="4" t="s">
        <v>948</v>
      </c>
      <c r="E328" s="4" t="s">
        <v>949</v>
      </c>
    </row>
    <row r="329" customFormat="false" ht="149.25" hidden="false" customHeight="false" outlineLevel="0" collapsed="false">
      <c r="A329" s="4" t="s">
        <v>950</v>
      </c>
      <c r="B329" s="4" t="s">
        <v>951</v>
      </c>
      <c r="C329" s="4" t="s">
        <v>952</v>
      </c>
      <c r="D329" s="4" t="s">
        <v>953</v>
      </c>
      <c r="E329" s="4" t="s">
        <v>954</v>
      </c>
    </row>
    <row r="330" customFormat="false" ht="323.85" hidden="false" customHeight="false" outlineLevel="0" collapsed="false">
      <c r="A330" s="4" t="s">
        <v>955</v>
      </c>
      <c r="B330" s="4" t="s">
        <v>956</v>
      </c>
      <c r="C330" s="4" t="s">
        <v>957</v>
      </c>
      <c r="D330" s="4" t="s">
        <v>958</v>
      </c>
      <c r="E330" s="4" t="s">
        <v>959</v>
      </c>
    </row>
    <row r="331" customFormat="false" ht="216.4" hidden="false" customHeight="false" outlineLevel="0" collapsed="false">
      <c r="A331" s="4" t="s">
        <v>960</v>
      </c>
      <c r="B331" s="4" t="s">
        <v>961</v>
      </c>
      <c r="C331" s="4" t="s">
        <v>962</v>
      </c>
      <c r="D331" s="4" t="s">
        <v>963</v>
      </c>
      <c r="E331" s="4" t="s">
        <v>964</v>
      </c>
    </row>
    <row r="332" customFormat="false" ht="444.75" hidden="false" customHeight="false" outlineLevel="0" collapsed="false">
      <c r="A332" s="4" t="s">
        <v>965</v>
      </c>
      <c r="B332" s="4" t="s">
        <v>966</v>
      </c>
      <c r="C332" s="4" t="s">
        <v>967</v>
      </c>
      <c r="D332" s="4" t="s">
        <v>968</v>
      </c>
      <c r="E332" s="4" t="s">
        <v>969</v>
      </c>
    </row>
    <row r="333" customFormat="false" ht="149.25" hidden="false" customHeight="false" outlineLevel="0" collapsed="false">
      <c r="A333" s="4" t="s">
        <v>970</v>
      </c>
      <c r="B333" s="4" t="s">
        <v>971</v>
      </c>
      <c r="C333" s="4" t="s">
        <v>314</v>
      </c>
      <c r="D333" s="4" t="s">
        <v>972</v>
      </c>
      <c r="E333" s="4" t="s">
        <v>973</v>
      </c>
    </row>
    <row r="334" customFormat="false" ht="229.85" hidden="false" customHeight="false" outlineLevel="0" collapsed="false">
      <c r="A334" s="4" t="s">
        <v>974</v>
      </c>
      <c r="B334" s="4" t="s">
        <v>975</v>
      </c>
      <c r="C334" s="4" t="s">
        <v>976</v>
      </c>
      <c r="D334" s="4" t="s">
        <v>977</v>
      </c>
      <c r="E334" s="4" t="s">
        <v>978</v>
      </c>
    </row>
    <row r="335" customFormat="false" ht="256.7" hidden="false" customHeight="false" outlineLevel="0" collapsed="false">
      <c r="A335" s="4" t="s">
        <v>979</v>
      </c>
      <c r="B335" s="4" t="s">
        <v>980</v>
      </c>
      <c r="C335" s="4" t="s">
        <v>981</v>
      </c>
      <c r="D335" s="4" t="s">
        <v>982</v>
      </c>
      <c r="E335" s="4" t="s">
        <v>983</v>
      </c>
    </row>
    <row r="336" customFormat="false" ht="108.95" hidden="false" customHeight="false" outlineLevel="0" collapsed="false">
      <c r="A336" s="4" t="s">
        <v>984</v>
      </c>
      <c r="B336" s="4" t="s">
        <v>985</v>
      </c>
      <c r="C336" s="4" t="s">
        <v>986</v>
      </c>
      <c r="D336" s="4" t="s">
        <v>987</v>
      </c>
      <c r="E336" s="4" t="s">
        <v>988</v>
      </c>
    </row>
    <row r="337" customFormat="false" ht="122.35" hidden="false" customHeight="false" outlineLevel="0" collapsed="false">
      <c r="A337" s="4" t="s">
        <v>989</v>
      </c>
      <c r="B337" s="4" t="s">
        <v>990</v>
      </c>
      <c r="C337" s="4" t="s">
        <v>991</v>
      </c>
      <c r="D337" s="4" t="s">
        <v>992</v>
      </c>
      <c r="E337" s="4" t="s">
        <v>993</v>
      </c>
    </row>
    <row r="339" customFormat="false" ht="15" hidden="false" customHeight="false" outlineLevel="0" collapsed="false">
      <c r="A339" s="5" t="s">
        <v>994</v>
      </c>
    </row>
    <row r="340" customFormat="false" ht="15" hidden="false" customHeight="false" outlineLevel="0" collapsed="false">
      <c r="A340" s="2" t="s">
        <v>777</v>
      </c>
      <c r="B340" s="2" t="s">
        <v>995</v>
      </c>
      <c r="C340" s="2" t="s">
        <v>996</v>
      </c>
      <c r="D340" s="2" t="s">
        <v>664</v>
      </c>
      <c r="E340" s="2" t="s">
        <v>997</v>
      </c>
      <c r="F340" s="2" t="s">
        <v>998</v>
      </c>
      <c r="G340" s="2" t="s">
        <v>999</v>
      </c>
      <c r="H340" s="2" t="s">
        <v>1000</v>
      </c>
    </row>
    <row r="341" customFormat="false" ht="82.05" hidden="false" customHeight="false" outlineLevel="0" collapsed="false">
      <c r="A341" s="4" t="s">
        <v>1001</v>
      </c>
      <c r="B341" s="4" t="s">
        <v>1002</v>
      </c>
      <c r="C341" s="4" t="s">
        <v>1003</v>
      </c>
      <c r="D341" s="4" t="s">
        <v>1004</v>
      </c>
      <c r="E341" s="4" t="s">
        <v>1005</v>
      </c>
      <c r="F341" s="4" t="s">
        <v>1006</v>
      </c>
      <c r="G341" s="4" t="s">
        <v>1007</v>
      </c>
      <c r="H341" s="4" t="s">
        <v>1008</v>
      </c>
    </row>
    <row r="342" customFormat="false" ht="82.05" hidden="false" customHeight="false" outlineLevel="0" collapsed="false">
      <c r="A342" s="4" t="s">
        <v>1009</v>
      </c>
      <c r="B342" s="4" t="s">
        <v>1010</v>
      </c>
      <c r="C342" s="4" t="s">
        <v>1011</v>
      </c>
      <c r="D342" s="4" t="s">
        <v>1012</v>
      </c>
      <c r="E342" s="4" t="s">
        <v>1013</v>
      </c>
      <c r="F342" s="4" t="s">
        <v>1014</v>
      </c>
      <c r="G342" s="4" t="s">
        <v>1015</v>
      </c>
      <c r="H342" s="4" t="s">
        <v>1016</v>
      </c>
    </row>
    <row r="343" customFormat="false" ht="82.05" hidden="false" customHeight="false" outlineLevel="0" collapsed="false">
      <c r="A343" s="4" t="s">
        <v>1017</v>
      </c>
      <c r="B343" s="4" t="s">
        <v>1018</v>
      </c>
      <c r="C343" s="4" t="s">
        <v>1019</v>
      </c>
      <c r="D343" s="4" t="s">
        <v>1020</v>
      </c>
      <c r="E343" s="4" t="s">
        <v>1021</v>
      </c>
      <c r="F343" s="4" t="s">
        <v>317</v>
      </c>
      <c r="G343" s="4" t="s">
        <v>1022</v>
      </c>
      <c r="H343" s="4" t="s">
        <v>1023</v>
      </c>
    </row>
    <row r="344" customFormat="false" ht="68.65" hidden="false" customHeight="false" outlineLevel="0" collapsed="false">
      <c r="A344" s="4" t="s">
        <v>1024</v>
      </c>
      <c r="B344" s="4" t="s">
        <v>1018</v>
      </c>
      <c r="C344" s="4" t="s">
        <v>1025</v>
      </c>
      <c r="D344" s="4" t="s">
        <v>1026</v>
      </c>
      <c r="E344" s="4" t="s">
        <v>1027</v>
      </c>
      <c r="F344" s="4" t="s">
        <v>317</v>
      </c>
      <c r="G344" s="4" t="s">
        <v>1022</v>
      </c>
      <c r="H344" s="4" t="s">
        <v>1028</v>
      </c>
    </row>
    <row r="345" customFormat="false" ht="189.55" hidden="false" customHeight="false" outlineLevel="0" collapsed="false">
      <c r="A345" s="4" t="s">
        <v>1029</v>
      </c>
      <c r="B345" s="4" t="s">
        <v>139</v>
      </c>
      <c r="C345" s="4" t="s">
        <v>1030</v>
      </c>
      <c r="D345" s="4" t="s">
        <v>1031</v>
      </c>
      <c r="E345" s="4" t="s">
        <v>1032</v>
      </c>
      <c r="F345" s="4" t="s">
        <v>1033</v>
      </c>
      <c r="G345" s="4" t="s">
        <v>1034</v>
      </c>
      <c r="H345" s="4" t="s">
        <v>1035</v>
      </c>
    </row>
    <row r="346" customFormat="false" ht="95.5" hidden="false" customHeight="false" outlineLevel="0" collapsed="false">
      <c r="A346" s="4" t="s">
        <v>1036</v>
      </c>
      <c r="B346" s="4" t="s">
        <v>1018</v>
      </c>
      <c r="C346" s="4" t="s">
        <v>1037</v>
      </c>
      <c r="D346" s="4" t="s">
        <v>1038</v>
      </c>
      <c r="E346" s="4" t="s">
        <v>1039</v>
      </c>
      <c r="F346" s="4" t="s">
        <v>317</v>
      </c>
      <c r="G346" s="4" t="s">
        <v>1040</v>
      </c>
      <c r="H346" s="4" t="s">
        <v>1041</v>
      </c>
    </row>
    <row r="347" customFormat="false" ht="108.95" hidden="false" customHeight="false" outlineLevel="0" collapsed="false">
      <c r="A347" s="4" t="s">
        <v>1042</v>
      </c>
      <c r="B347" s="4" t="s">
        <v>1002</v>
      </c>
      <c r="C347" s="4" t="s">
        <v>1043</v>
      </c>
      <c r="D347" s="4" t="s">
        <v>1044</v>
      </c>
      <c r="E347" s="4" t="s">
        <v>1045</v>
      </c>
      <c r="F347" s="4" t="s">
        <v>1046</v>
      </c>
      <c r="G347" s="4" t="s">
        <v>1007</v>
      </c>
      <c r="H347" s="4" t="s">
        <v>1047</v>
      </c>
    </row>
    <row r="348" customFormat="false" ht="28.35" hidden="false" customHeight="false" outlineLevel="0" collapsed="false">
      <c r="A348" s="4" t="s">
        <v>1048</v>
      </c>
      <c r="B348" s="4" t="s">
        <v>1018</v>
      </c>
      <c r="C348" s="4" t="s">
        <v>1049</v>
      </c>
      <c r="D348" s="4" t="s">
        <v>1050</v>
      </c>
      <c r="E348" s="4" t="s">
        <v>1051</v>
      </c>
      <c r="F348" s="4" t="s">
        <v>1052</v>
      </c>
      <c r="G348" s="4" t="s">
        <v>1053</v>
      </c>
      <c r="H348" s="4" t="s">
        <v>1054</v>
      </c>
    </row>
    <row r="349" customFormat="false" ht="41.75" hidden="false" customHeight="false" outlineLevel="0" collapsed="false">
      <c r="A349" s="4" t="s">
        <v>1055</v>
      </c>
      <c r="B349" s="4" t="s">
        <v>1018</v>
      </c>
      <c r="C349" s="4" t="s">
        <v>1056</v>
      </c>
      <c r="D349" s="4" t="s">
        <v>1057</v>
      </c>
      <c r="E349" s="4" t="s">
        <v>1058</v>
      </c>
      <c r="F349" s="4" t="s">
        <v>1059</v>
      </c>
      <c r="G349" s="4" t="s">
        <v>1060</v>
      </c>
      <c r="H349" s="4" t="s">
        <v>1061</v>
      </c>
    </row>
    <row r="350" customFormat="false" ht="82.05" hidden="false" customHeight="false" outlineLevel="0" collapsed="false">
      <c r="A350" s="4" t="s">
        <v>143</v>
      </c>
      <c r="B350" s="4" t="s">
        <v>1002</v>
      </c>
      <c r="C350" s="4" t="s">
        <v>1062</v>
      </c>
      <c r="D350" s="4" t="s">
        <v>1063</v>
      </c>
      <c r="E350" s="4" t="s">
        <v>1064</v>
      </c>
      <c r="F350" s="4" t="s">
        <v>1065</v>
      </c>
      <c r="G350" s="4" t="s">
        <v>1007</v>
      </c>
      <c r="H350" s="4" t="s">
        <v>1066</v>
      </c>
    </row>
    <row r="351" customFormat="false" ht="68.65" hidden="false" customHeight="false" outlineLevel="0" collapsed="false">
      <c r="A351" s="4" t="s">
        <v>1067</v>
      </c>
      <c r="B351" s="4" t="s">
        <v>1002</v>
      </c>
      <c r="C351" s="4" t="s">
        <v>1068</v>
      </c>
      <c r="D351" s="4" t="s">
        <v>1069</v>
      </c>
      <c r="E351" s="4" t="s">
        <v>1070</v>
      </c>
      <c r="F351" s="4" t="s">
        <v>1071</v>
      </c>
      <c r="G351" s="4" t="s">
        <v>1007</v>
      </c>
      <c r="H351" s="4" t="s">
        <v>1072</v>
      </c>
    </row>
    <row r="352" customFormat="false" ht="41.75" hidden="false" customHeight="false" outlineLevel="0" collapsed="false">
      <c r="A352" s="4" t="s">
        <v>1073</v>
      </c>
      <c r="B352" s="4" t="s">
        <v>1002</v>
      </c>
      <c r="C352" s="4" t="s">
        <v>1074</v>
      </c>
      <c r="D352" s="4" t="s">
        <v>1075</v>
      </c>
      <c r="E352" s="4" t="s">
        <v>1076</v>
      </c>
      <c r="F352" s="4" t="s">
        <v>1077</v>
      </c>
      <c r="G352" s="4" t="s">
        <v>1007</v>
      </c>
      <c r="H352" s="4" t="s">
        <v>1078</v>
      </c>
    </row>
    <row r="353" customFormat="false" ht="68.65" hidden="false" customHeight="false" outlineLevel="0" collapsed="false">
      <c r="A353" s="4" t="s">
        <v>1079</v>
      </c>
      <c r="B353" s="4" t="s">
        <v>1002</v>
      </c>
      <c r="C353" s="4" t="s">
        <v>1080</v>
      </c>
      <c r="D353" s="4" t="s">
        <v>1081</v>
      </c>
      <c r="E353" s="4" t="s">
        <v>1082</v>
      </c>
      <c r="F353" s="4" t="s">
        <v>1083</v>
      </c>
      <c r="G353" s="4" t="s">
        <v>1007</v>
      </c>
      <c r="H353" s="4" t="s">
        <v>1084</v>
      </c>
    </row>
    <row r="354" customFormat="false" ht="95.5" hidden="false" customHeight="false" outlineLevel="0" collapsed="false">
      <c r="A354" s="4" t="s">
        <v>1085</v>
      </c>
      <c r="B354" s="4" t="s">
        <v>1002</v>
      </c>
      <c r="C354" s="4" t="s">
        <v>1086</v>
      </c>
      <c r="D354" s="4" t="s">
        <v>1087</v>
      </c>
      <c r="E354" s="4" t="s">
        <v>1088</v>
      </c>
      <c r="F354" s="4" t="s">
        <v>1089</v>
      </c>
      <c r="G354" s="4" t="s">
        <v>1007</v>
      </c>
      <c r="H354" s="4" t="s">
        <v>1090</v>
      </c>
    </row>
    <row r="355" customFormat="false" ht="95.5" hidden="false" customHeight="false" outlineLevel="0" collapsed="false">
      <c r="A355" s="4" t="s">
        <v>1091</v>
      </c>
      <c r="B355" s="4" t="s">
        <v>1018</v>
      </c>
      <c r="C355" s="4" t="s">
        <v>1092</v>
      </c>
      <c r="D355" s="4" t="s">
        <v>1093</v>
      </c>
      <c r="E355" s="4" t="s">
        <v>1094</v>
      </c>
      <c r="F355" s="4" t="s">
        <v>317</v>
      </c>
      <c r="G355" s="4" t="s">
        <v>1040</v>
      </c>
      <c r="H355" s="4" t="s">
        <v>1095</v>
      </c>
    </row>
    <row r="356" customFormat="false" ht="68.65" hidden="false" customHeight="false" outlineLevel="0" collapsed="false">
      <c r="A356" s="4" t="s">
        <v>1096</v>
      </c>
      <c r="B356" s="4" t="s">
        <v>1018</v>
      </c>
      <c r="C356" s="4" t="s">
        <v>1097</v>
      </c>
      <c r="D356" s="4" t="s">
        <v>1098</v>
      </c>
      <c r="E356" s="4" t="s">
        <v>1099</v>
      </c>
      <c r="F356" s="4" t="s">
        <v>1100</v>
      </c>
      <c r="G356" s="4" t="s">
        <v>1101</v>
      </c>
      <c r="H356" s="4" t="s">
        <v>1102</v>
      </c>
    </row>
    <row r="357" customFormat="false" ht="122.35" hidden="false" customHeight="false" outlineLevel="0" collapsed="false">
      <c r="A357" s="4" t="s">
        <v>138</v>
      </c>
      <c r="B357" s="4" t="s">
        <v>139</v>
      </c>
      <c r="C357" s="4" t="s">
        <v>1103</v>
      </c>
      <c r="D357" s="4" t="s">
        <v>1104</v>
      </c>
      <c r="E357" s="4" t="s">
        <v>1105</v>
      </c>
      <c r="F357" s="4" t="s">
        <v>1106</v>
      </c>
      <c r="G357" s="4" t="s">
        <v>1107</v>
      </c>
      <c r="H357" s="4" t="s">
        <v>1108</v>
      </c>
    </row>
    <row r="358" customFormat="false" ht="41.75" hidden="false" customHeight="false" outlineLevel="0" collapsed="false">
      <c r="A358" s="4" t="s">
        <v>1109</v>
      </c>
      <c r="B358" s="4" t="s">
        <v>1018</v>
      </c>
      <c r="C358" s="4" t="s">
        <v>1110</v>
      </c>
      <c r="D358" s="4" t="s">
        <v>1111</v>
      </c>
      <c r="E358" s="4" t="s">
        <v>1112</v>
      </c>
      <c r="F358" s="4" t="s">
        <v>1071</v>
      </c>
      <c r="G358" s="4" t="s">
        <v>1022</v>
      </c>
      <c r="H358" s="4" t="s">
        <v>1113</v>
      </c>
    </row>
    <row r="359" customFormat="false" ht="55.2" hidden="false" customHeight="false" outlineLevel="0" collapsed="false">
      <c r="A359" s="4" t="s">
        <v>1114</v>
      </c>
      <c r="B359" s="4" t="s">
        <v>1018</v>
      </c>
      <c r="C359" s="4" t="s">
        <v>1115</v>
      </c>
      <c r="D359" s="4" t="s">
        <v>1116</v>
      </c>
      <c r="E359" s="4" t="s">
        <v>1117</v>
      </c>
      <c r="F359" s="4" t="s">
        <v>1071</v>
      </c>
      <c r="G359" s="4" t="s">
        <v>1022</v>
      </c>
      <c r="H359" s="4" t="s">
        <v>1118</v>
      </c>
    </row>
    <row r="360" customFormat="false" ht="41.75" hidden="false" customHeight="false" outlineLevel="0" collapsed="false">
      <c r="A360" s="4" t="s">
        <v>1119</v>
      </c>
      <c r="B360" s="4" t="s">
        <v>1018</v>
      </c>
      <c r="C360" s="4" t="s">
        <v>1120</v>
      </c>
      <c r="D360" s="4" t="s">
        <v>1121</v>
      </c>
      <c r="E360" s="4" t="s">
        <v>1122</v>
      </c>
      <c r="F360" s="4" t="s">
        <v>1071</v>
      </c>
      <c r="G360" s="4" t="s">
        <v>1022</v>
      </c>
      <c r="H360" s="4" t="s">
        <v>1123</v>
      </c>
    </row>
    <row r="361" customFormat="false" ht="41.75" hidden="false" customHeight="false" outlineLevel="0" collapsed="false">
      <c r="A361" s="4" t="s">
        <v>1124</v>
      </c>
      <c r="B361" s="4" t="s">
        <v>1018</v>
      </c>
      <c r="C361" s="4" t="s">
        <v>1125</v>
      </c>
      <c r="D361" s="4" t="s">
        <v>1126</v>
      </c>
      <c r="E361" s="4" t="s">
        <v>1127</v>
      </c>
      <c r="F361" s="4" t="s">
        <v>1071</v>
      </c>
      <c r="G361" s="4" t="s">
        <v>1022</v>
      </c>
      <c r="H361" s="4" t="s">
        <v>1128</v>
      </c>
    </row>
    <row r="362" customFormat="false" ht="82.05" hidden="false" customHeight="false" outlineLevel="0" collapsed="false">
      <c r="A362" s="4" t="s">
        <v>1129</v>
      </c>
      <c r="B362" s="4" t="s">
        <v>1018</v>
      </c>
      <c r="C362" s="4" t="s">
        <v>1130</v>
      </c>
      <c r="D362" s="4" t="s">
        <v>1131</v>
      </c>
      <c r="E362" s="4" t="s">
        <v>1132</v>
      </c>
      <c r="F362" s="4" t="s">
        <v>1071</v>
      </c>
      <c r="G362" s="4" t="s">
        <v>1022</v>
      </c>
      <c r="H362" s="4" t="s">
        <v>1133</v>
      </c>
    </row>
    <row r="363" customFormat="false" ht="108.95" hidden="false" customHeight="false" outlineLevel="0" collapsed="false">
      <c r="A363" s="4" t="s">
        <v>1134</v>
      </c>
      <c r="B363" s="4" t="s">
        <v>1018</v>
      </c>
      <c r="C363" s="4" t="s">
        <v>1135</v>
      </c>
      <c r="D363" s="4" t="s">
        <v>1136</v>
      </c>
      <c r="E363" s="4" t="s">
        <v>1137</v>
      </c>
      <c r="F363" s="4" t="s">
        <v>1071</v>
      </c>
      <c r="G363" s="4" t="s">
        <v>1022</v>
      </c>
      <c r="H363" s="4" t="s">
        <v>1138</v>
      </c>
    </row>
    <row r="364" customFormat="false" ht="68.65" hidden="false" customHeight="false" outlineLevel="0" collapsed="false">
      <c r="A364" s="4" t="s">
        <v>1139</v>
      </c>
      <c r="B364" s="4" t="s">
        <v>1018</v>
      </c>
      <c r="C364" s="4" t="s">
        <v>1140</v>
      </c>
      <c r="D364" s="4" t="s">
        <v>1141</v>
      </c>
      <c r="E364" s="4" t="s">
        <v>1142</v>
      </c>
      <c r="F364" s="4" t="s">
        <v>1071</v>
      </c>
      <c r="G364" s="4" t="s">
        <v>1022</v>
      </c>
      <c r="H364" s="4" t="s">
        <v>1143</v>
      </c>
    </row>
    <row r="365" customFormat="false" ht="108.95" hidden="false" customHeight="false" outlineLevel="0" collapsed="false">
      <c r="A365" s="4" t="s">
        <v>1144</v>
      </c>
      <c r="B365" s="4" t="s">
        <v>1018</v>
      </c>
      <c r="C365" s="4" t="s">
        <v>1145</v>
      </c>
      <c r="D365" s="4" t="s">
        <v>1146</v>
      </c>
      <c r="E365" s="4" t="s">
        <v>1147</v>
      </c>
      <c r="F365" s="4" t="s">
        <v>1071</v>
      </c>
      <c r="G365" s="4" t="s">
        <v>1022</v>
      </c>
      <c r="H365" s="4" t="s">
        <v>1148</v>
      </c>
    </row>
    <row r="366" customFormat="false" ht="95.5" hidden="false" customHeight="false" outlineLevel="0" collapsed="false">
      <c r="A366" s="4" t="s">
        <v>146</v>
      </c>
      <c r="B366" s="4" t="s">
        <v>139</v>
      </c>
      <c r="C366" s="4" t="s">
        <v>1149</v>
      </c>
      <c r="D366" s="4" t="s">
        <v>1150</v>
      </c>
      <c r="E366" s="4" t="s">
        <v>1151</v>
      </c>
      <c r="F366" s="4" t="s">
        <v>1152</v>
      </c>
      <c r="G366" s="4" t="s">
        <v>1153</v>
      </c>
      <c r="H366" s="4" t="s">
        <v>1154</v>
      </c>
    </row>
    <row r="367" customFormat="false" ht="95.5" hidden="false" customHeight="false" outlineLevel="0" collapsed="false">
      <c r="A367" s="4" t="s">
        <v>1155</v>
      </c>
      <c r="B367" s="4" t="s">
        <v>1018</v>
      </c>
      <c r="C367" s="4" t="s">
        <v>1156</v>
      </c>
      <c r="D367" s="4" t="s">
        <v>1157</v>
      </c>
      <c r="E367" s="4" t="s">
        <v>1158</v>
      </c>
      <c r="F367" s="4" t="s">
        <v>1159</v>
      </c>
      <c r="G367" s="4" t="s">
        <v>1160</v>
      </c>
      <c r="H367" s="4" t="s">
        <v>1161</v>
      </c>
    </row>
    <row r="368" customFormat="false" ht="202.95" hidden="false" customHeight="false" outlineLevel="0" collapsed="false">
      <c r="A368" s="4" t="s">
        <v>48</v>
      </c>
      <c r="B368" s="4" t="s">
        <v>1002</v>
      </c>
      <c r="C368" s="4" t="s">
        <v>1162</v>
      </c>
      <c r="D368" s="4" t="s">
        <v>1163</v>
      </c>
      <c r="E368" s="4" t="s">
        <v>1164</v>
      </c>
      <c r="F368" s="4" t="s">
        <v>1165</v>
      </c>
      <c r="G368" s="4" t="s">
        <v>1166</v>
      </c>
      <c r="H368" s="4" t="s">
        <v>1167</v>
      </c>
    </row>
    <row r="369" customFormat="false" ht="68.65" hidden="false" customHeight="false" outlineLevel="0" collapsed="false">
      <c r="A369" s="4" t="s">
        <v>1168</v>
      </c>
      <c r="B369" s="4" t="s">
        <v>1018</v>
      </c>
      <c r="C369" s="4" t="s">
        <v>1169</v>
      </c>
      <c r="D369" s="4" t="s">
        <v>1170</v>
      </c>
      <c r="E369" s="4" t="s">
        <v>1171</v>
      </c>
      <c r="F369" s="4" t="s">
        <v>1071</v>
      </c>
      <c r="G369" s="4" t="s">
        <v>1022</v>
      </c>
      <c r="H369" s="4" t="s">
        <v>1172</v>
      </c>
    </row>
    <row r="370" customFormat="false" ht="55.2" hidden="false" customHeight="false" outlineLevel="0" collapsed="false">
      <c r="A370" s="4" t="s">
        <v>1173</v>
      </c>
      <c r="B370" s="4" t="s">
        <v>1018</v>
      </c>
      <c r="C370" s="4" t="s">
        <v>1174</v>
      </c>
      <c r="D370" s="4" t="s">
        <v>1175</v>
      </c>
      <c r="E370" s="4" t="s">
        <v>1176</v>
      </c>
      <c r="F370" s="4" t="s">
        <v>317</v>
      </c>
      <c r="G370" s="4" t="s">
        <v>1022</v>
      </c>
      <c r="H370" s="4" t="s">
        <v>1177</v>
      </c>
    </row>
    <row r="371" customFormat="false" ht="135.8" hidden="false" customHeight="false" outlineLevel="0" collapsed="false">
      <c r="A371" s="4" t="s">
        <v>24</v>
      </c>
      <c r="B371" s="4" t="s">
        <v>1018</v>
      </c>
      <c r="C371" s="4" t="s">
        <v>1178</v>
      </c>
      <c r="D371" s="4" t="s">
        <v>1179</v>
      </c>
      <c r="E371" s="4" t="s">
        <v>1180</v>
      </c>
      <c r="F371" s="4" t="s">
        <v>1181</v>
      </c>
      <c r="G371" s="4" t="s">
        <v>1182</v>
      </c>
      <c r="H371" s="4" t="s">
        <v>1183</v>
      </c>
    </row>
    <row r="372" customFormat="false" ht="243.25" hidden="false" customHeight="false" outlineLevel="0" collapsed="false">
      <c r="A372" s="4" t="s">
        <v>18</v>
      </c>
      <c r="B372" s="4" t="s">
        <v>1010</v>
      </c>
      <c r="C372" s="4" t="s">
        <v>1184</v>
      </c>
      <c r="D372" s="4" t="s">
        <v>1185</v>
      </c>
      <c r="E372" s="4" t="s">
        <v>1186</v>
      </c>
      <c r="F372" s="4" t="s">
        <v>1187</v>
      </c>
      <c r="G372" s="4" t="s">
        <v>1188</v>
      </c>
      <c r="H372" s="4" t="s">
        <v>1189</v>
      </c>
    </row>
    <row r="373" customFormat="false" ht="82.05" hidden="false" customHeight="false" outlineLevel="0" collapsed="false">
      <c r="A373" s="4" t="s">
        <v>30</v>
      </c>
      <c r="B373" s="4" t="s">
        <v>1002</v>
      </c>
      <c r="C373" s="4" t="s">
        <v>1190</v>
      </c>
      <c r="D373" s="4" t="s">
        <v>1191</v>
      </c>
      <c r="E373" s="4" t="s">
        <v>1192</v>
      </c>
      <c r="F373" s="4" t="s">
        <v>1193</v>
      </c>
      <c r="G373" s="4" t="s">
        <v>1194</v>
      </c>
      <c r="H373" s="4" t="s">
        <v>1195</v>
      </c>
    </row>
    <row r="374" customFormat="false" ht="122.35" hidden="false" customHeight="false" outlineLevel="0" collapsed="false">
      <c r="A374" s="4" t="s">
        <v>54</v>
      </c>
      <c r="B374" s="4" t="s">
        <v>1002</v>
      </c>
      <c r="C374" s="4" t="s">
        <v>1196</v>
      </c>
      <c r="D374" s="4" t="s">
        <v>1197</v>
      </c>
      <c r="E374" s="4" t="s">
        <v>1198</v>
      </c>
      <c r="F374" s="4" t="s">
        <v>1199</v>
      </c>
      <c r="G374" s="4" t="s">
        <v>1200</v>
      </c>
      <c r="H374" s="4" t="s">
        <v>1201</v>
      </c>
    </row>
    <row r="375" customFormat="false" ht="82.05" hidden="false" customHeight="false" outlineLevel="0" collapsed="false">
      <c r="A375" s="4" t="s">
        <v>59</v>
      </c>
      <c r="B375" s="4" t="s">
        <v>1002</v>
      </c>
      <c r="C375" s="4" t="s">
        <v>1202</v>
      </c>
      <c r="D375" s="4" t="s">
        <v>1203</v>
      </c>
      <c r="E375" s="4" t="s">
        <v>1204</v>
      </c>
      <c r="F375" s="4" t="s">
        <v>1205</v>
      </c>
      <c r="G375" s="4" t="s">
        <v>1206</v>
      </c>
      <c r="H375" s="4" t="s">
        <v>1207</v>
      </c>
    </row>
    <row r="376" customFormat="false" ht="122.35" hidden="false" customHeight="false" outlineLevel="0" collapsed="false">
      <c r="A376" s="4" t="s">
        <v>177</v>
      </c>
      <c r="B376" s="4" t="s">
        <v>1018</v>
      </c>
      <c r="C376" s="4" t="s">
        <v>1208</v>
      </c>
      <c r="D376" s="4" t="s">
        <v>1209</v>
      </c>
      <c r="E376" s="4" t="s">
        <v>1210</v>
      </c>
      <c r="F376" s="4" t="s">
        <v>1211</v>
      </c>
      <c r="G376" s="4" t="s">
        <v>1212</v>
      </c>
      <c r="H376" s="4" t="s">
        <v>1213</v>
      </c>
    </row>
    <row r="377" customFormat="false" ht="189.55" hidden="false" customHeight="false" outlineLevel="0" collapsed="false">
      <c r="A377" s="4" t="s">
        <v>170</v>
      </c>
      <c r="B377" s="4" t="s">
        <v>1002</v>
      </c>
      <c r="C377" s="4" t="s">
        <v>1214</v>
      </c>
      <c r="D377" s="4" t="s">
        <v>1215</v>
      </c>
      <c r="E377" s="4" t="s">
        <v>1216</v>
      </c>
      <c r="F377" s="4" t="s">
        <v>1217</v>
      </c>
      <c r="G377" s="4" t="s">
        <v>1218</v>
      </c>
      <c r="H377" s="4" t="s">
        <v>1219</v>
      </c>
    </row>
    <row r="378" customFormat="false" ht="216.4" hidden="false" customHeight="false" outlineLevel="0" collapsed="false">
      <c r="A378" s="4" t="s">
        <v>1220</v>
      </c>
      <c r="B378" s="4" t="s">
        <v>1002</v>
      </c>
      <c r="C378" s="4" t="s">
        <v>1221</v>
      </c>
      <c r="D378" s="4" t="s">
        <v>1222</v>
      </c>
      <c r="E378" s="4" t="s">
        <v>1223</v>
      </c>
      <c r="F378" s="4" t="s">
        <v>1071</v>
      </c>
      <c r="G378" s="4" t="s">
        <v>1007</v>
      </c>
      <c r="H378" s="4" t="s">
        <v>1224</v>
      </c>
    </row>
    <row r="379" customFormat="false" ht="95.5" hidden="false" customHeight="false" outlineLevel="0" collapsed="false">
      <c r="A379" s="4" t="s">
        <v>180</v>
      </c>
      <c r="B379" s="4" t="s">
        <v>1002</v>
      </c>
      <c r="C379" s="4" t="s">
        <v>1225</v>
      </c>
      <c r="D379" s="4" t="s">
        <v>1226</v>
      </c>
      <c r="E379" s="4" t="s">
        <v>1227</v>
      </c>
      <c r="F379" s="4" t="s">
        <v>1228</v>
      </c>
      <c r="G379" s="4" t="s">
        <v>1229</v>
      </c>
      <c r="H379" s="4" t="s">
        <v>1230</v>
      </c>
    </row>
    <row r="380" customFormat="false" ht="189.55" hidden="false" customHeight="false" outlineLevel="0" collapsed="false">
      <c r="A380" s="4" t="s">
        <v>65</v>
      </c>
      <c r="B380" s="4" t="s">
        <v>1010</v>
      </c>
      <c r="C380" s="4" t="s">
        <v>1231</v>
      </c>
      <c r="D380" s="4" t="s">
        <v>1232</v>
      </c>
      <c r="E380" s="4" t="s">
        <v>1233</v>
      </c>
      <c r="F380" s="4" t="s">
        <v>1234</v>
      </c>
      <c r="G380" s="4" t="s">
        <v>1235</v>
      </c>
      <c r="H380" s="4" t="s">
        <v>1236</v>
      </c>
    </row>
    <row r="381" customFormat="false" ht="189.55" hidden="false" customHeight="false" outlineLevel="0" collapsed="false">
      <c r="A381" s="4" t="s">
        <v>1237</v>
      </c>
      <c r="B381" s="4" t="s">
        <v>1002</v>
      </c>
      <c r="C381" s="4" t="s">
        <v>1238</v>
      </c>
      <c r="D381" s="4" t="s">
        <v>1239</v>
      </c>
      <c r="E381" s="4" t="s">
        <v>1240</v>
      </c>
      <c r="F381" s="4" t="s">
        <v>1241</v>
      </c>
      <c r="G381" s="4" t="s">
        <v>1242</v>
      </c>
      <c r="H381" s="4" t="s">
        <v>1243</v>
      </c>
    </row>
    <row r="383" customFormat="false" ht="15" hidden="false" customHeight="false" outlineLevel="0" collapsed="false">
      <c r="A383" s="5" t="s">
        <v>1244</v>
      </c>
    </row>
    <row r="384" customFormat="false" ht="15" hidden="false" customHeight="false" outlineLevel="0" collapsed="false">
      <c r="A384" s="2" t="s">
        <v>576</v>
      </c>
      <c r="B384" s="2" t="s">
        <v>1245</v>
      </c>
      <c r="C384" s="2" t="s">
        <v>1246</v>
      </c>
    </row>
    <row r="385" customFormat="false" ht="216.4" hidden="false" customHeight="false" outlineLevel="0" collapsed="false">
      <c r="A385" s="4" t="s">
        <v>1247</v>
      </c>
      <c r="B385" s="4" t="s">
        <v>1248</v>
      </c>
      <c r="C385" s="4" t="s">
        <v>1249</v>
      </c>
    </row>
    <row r="386" customFormat="false" ht="41.75" hidden="false" customHeight="false" outlineLevel="0" collapsed="false">
      <c r="A386" s="4" t="s">
        <v>1250</v>
      </c>
      <c r="B386" s="4" t="s">
        <v>1251</v>
      </c>
      <c r="C386" s="4" t="s">
        <v>1252</v>
      </c>
    </row>
    <row r="387" customFormat="false" ht="41.75" hidden="false" customHeight="false" outlineLevel="0" collapsed="false">
      <c r="A387" s="4" t="s">
        <v>1253</v>
      </c>
      <c r="B387" s="4" t="s">
        <v>1254</v>
      </c>
      <c r="C387" s="4" t="s">
        <v>1255</v>
      </c>
    </row>
    <row r="388" customFormat="false" ht="68.65" hidden="false" customHeight="false" outlineLevel="0" collapsed="false">
      <c r="A388" s="4" t="s">
        <v>1256</v>
      </c>
      <c r="B388" s="4" t="s">
        <v>1257</v>
      </c>
      <c r="C388" s="4" t="s">
        <v>1258</v>
      </c>
    </row>
    <row r="389" customFormat="false" ht="41.75" hidden="false" customHeight="false" outlineLevel="0" collapsed="false">
      <c r="A389" s="4" t="s">
        <v>1259</v>
      </c>
      <c r="B389" s="4" t="s">
        <v>1260</v>
      </c>
      <c r="C389" s="4" t="s">
        <v>1261</v>
      </c>
    </row>
    <row r="390" customFormat="false" ht="41.75" hidden="false" customHeight="false" outlineLevel="0" collapsed="false">
      <c r="A390" s="4" t="s">
        <v>1262</v>
      </c>
      <c r="B390" s="4" t="s">
        <v>1263</v>
      </c>
      <c r="C390" s="4" t="s">
        <v>1264</v>
      </c>
    </row>
    <row r="391" customFormat="false" ht="55.2" hidden="false" customHeight="false" outlineLevel="0" collapsed="false">
      <c r="A391" s="4" t="s">
        <v>1265</v>
      </c>
      <c r="B391" s="4" t="s">
        <v>1266</v>
      </c>
      <c r="C391" s="4" t="s">
        <v>1267</v>
      </c>
    </row>
    <row r="392" customFormat="false" ht="55.2" hidden="false" customHeight="false" outlineLevel="0" collapsed="false">
      <c r="A392" s="4" t="s">
        <v>1268</v>
      </c>
      <c r="B392" s="4" t="s">
        <v>1269</v>
      </c>
      <c r="C392" s="4" t="s">
        <v>1270</v>
      </c>
    </row>
    <row r="393" customFormat="false" ht="41.75" hidden="false" customHeight="false" outlineLevel="0" collapsed="false">
      <c r="A393" s="4" t="s">
        <v>1271</v>
      </c>
      <c r="B393" s="4" t="s">
        <v>1272</v>
      </c>
      <c r="C393" s="4" t="s">
        <v>1273</v>
      </c>
    </row>
    <row r="394" customFormat="false" ht="41.75" hidden="false" customHeight="false" outlineLevel="0" collapsed="false">
      <c r="A394" s="4" t="s">
        <v>1274</v>
      </c>
      <c r="B394" s="4" t="s">
        <v>1275</v>
      </c>
      <c r="C394" s="4" t="s">
        <v>1276</v>
      </c>
    </row>
    <row r="395" customFormat="false" ht="41.75" hidden="false" customHeight="false" outlineLevel="0" collapsed="false">
      <c r="A395" s="4" t="s">
        <v>1277</v>
      </c>
      <c r="B395" s="4" t="s">
        <v>1278</v>
      </c>
      <c r="C395" s="4" t="s">
        <v>1279</v>
      </c>
    </row>
    <row r="396" customFormat="false" ht="28.35" hidden="false" customHeight="false" outlineLevel="0" collapsed="false">
      <c r="A396" s="4" t="s">
        <v>1280</v>
      </c>
      <c r="B396" s="4" t="s">
        <v>1281</v>
      </c>
      <c r="C396" s="4" t="s">
        <v>1282</v>
      </c>
    </row>
    <row r="397" customFormat="false" ht="55.2" hidden="false" customHeight="false" outlineLevel="0" collapsed="false">
      <c r="A397" s="4" t="s">
        <v>1283</v>
      </c>
      <c r="B397" s="4" t="s">
        <v>1284</v>
      </c>
      <c r="C397" s="4" t="s">
        <v>1285</v>
      </c>
    </row>
    <row r="399" customFormat="false" ht="15" hidden="false" customHeight="false" outlineLevel="0" collapsed="false">
      <c r="A399" s="5" t="s">
        <v>1286</v>
      </c>
    </row>
    <row r="400" customFormat="false" ht="15" hidden="false" customHeight="false" outlineLevel="0" collapsed="false">
      <c r="A400" s="2" t="s">
        <v>1287</v>
      </c>
      <c r="B400" s="2" t="s">
        <v>1288</v>
      </c>
      <c r="C400" s="2" t="s">
        <v>757</v>
      </c>
      <c r="D400" s="2" t="s">
        <v>758</v>
      </c>
    </row>
    <row r="401" customFormat="false" ht="135.8" hidden="false" customHeight="false" outlineLevel="0" collapsed="false">
      <c r="A401" s="4" t="s">
        <v>1289</v>
      </c>
      <c r="B401" s="4" t="s">
        <v>1289</v>
      </c>
      <c r="C401" s="4" t="s">
        <v>1290</v>
      </c>
      <c r="D401" s="4" t="s">
        <v>1291</v>
      </c>
    </row>
    <row r="402" customFormat="false" ht="15" hidden="false" customHeight="false" outlineLevel="0" collapsed="false">
      <c r="A402" s="4" t="s">
        <v>1292</v>
      </c>
      <c r="B402" s="4" t="s">
        <v>1292</v>
      </c>
      <c r="C402" s="4" t="s">
        <v>1293</v>
      </c>
      <c r="D402" s="4" t="s">
        <v>1294</v>
      </c>
    </row>
    <row r="403" customFormat="false" ht="15" hidden="false" customHeight="false" outlineLevel="0" collapsed="false">
      <c r="A403" s="4" t="s">
        <v>1295</v>
      </c>
      <c r="B403" s="4" t="s">
        <v>1295</v>
      </c>
      <c r="C403" s="4" t="s">
        <v>1296</v>
      </c>
      <c r="D403" s="4" t="s">
        <v>1297</v>
      </c>
    </row>
    <row r="404" customFormat="false" ht="15" hidden="false" customHeight="false" outlineLevel="0" collapsed="false">
      <c r="A404" s="4" t="s">
        <v>1298</v>
      </c>
      <c r="B404" s="4" t="s">
        <v>1298</v>
      </c>
      <c r="C404" s="4" t="s">
        <v>1299</v>
      </c>
      <c r="D404" s="4" t="s">
        <v>1300</v>
      </c>
    </row>
    <row r="405" customFormat="false" ht="15" hidden="false" customHeight="false" outlineLevel="0" collapsed="false">
      <c r="A405" s="4" t="s">
        <v>1301</v>
      </c>
      <c r="B405" s="4" t="s">
        <v>1301</v>
      </c>
      <c r="C405" s="4" t="s">
        <v>1302</v>
      </c>
      <c r="D405" s="4" t="s">
        <v>1303</v>
      </c>
    </row>
    <row r="406" customFormat="false" ht="15" hidden="false" customHeight="false" outlineLevel="0" collapsed="false">
      <c r="A406" s="4" t="s">
        <v>1304</v>
      </c>
      <c r="B406" s="4" t="s">
        <v>1304</v>
      </c>
      <c r="C406" s="4" t="s">
        <v>1305</v>
      </c>
      <c r="D406" s="4" t="s">
        <v>1306</v>
      </c>
    </row>
    <row r="407" customFormat="false" ht="15" hidden="false" customHeight="false" outlineLevel="0" collapsed="false">
      <c r="A407" s="4" t="s">
        <v>1307</v>
      </c>
      <c r="B407" s="4" t="s">
        <v>1307</v>
      </c>
      <c r="C407" s="4" t="s">
        <v>1308</v>
      </c>
      <c r="D407" s="4" t="s">
        <v>1309</v>
      </c>
    </row>
    <row r="408" customFormat="false" ht="15" hidden="false" customHeight="false" outlineLevel="0" collapsed="false">
      <c r="A408" s="4" t="s">
        <v>1310</v>
      </c>
      <c r="B408" s="4" t="s">
        <v>1310</v>
      </c>
      <c r="C408" s="4" t="s">
        <v>1311</v>
      </c>
      <c r="D408" s="4" t="s">
        <v>1312</v>
      </c>
    </row>
    <row r="409" customFormat="false" ht="15" hidden="false" customHeight="false" outlineLevel="0" collapsed="false">
      <c r="A409" s="4" t="s">
        <v>1313</v>
      </c>
      <c r="B409" s="4" t="s">
        <v>1313</v>
      </c>
      <c r="C409" s="4" t="s">
        <v>1314</v>
      </c>
      <c r="D409" s="4" t="s">
        <v>1315</v>
      </c>
    </row>
    <row r="410" customFormat="false" ht="15" hidden="false" customHeight="false" outlineLevel="0" collapsed="false">
      <c r="A410" s="4" t="s">
        <v>1316</v>
      </c>
      <c r="B410" s="4" t="s">
        <v>1316</v>
      </c>
      <c r="C410" s="4" t="s">
        <v>1317</v>
      </c>
      <c r="D410" s="4" t="s">
        <v>1318</v>
      </c>
    </row>
    <row r="411" customFormat="false" ht="15" hidden="false" customHeight="false" outlineLevel="0" collapsed="false">
      <c r="A411" s="4" t="s">
        <v>1319</v>
      </c>
      <c r="B411" s="4" t="s">
        <v>1319</v>
      </c>
      <c r="C411" s="4" t="s">
        <v>1320</v>
      </c>
      <c r="D411" s="4" t="s">
        <v>1321</v>
      </c>
    </row>
    <row r="412" customFormat="false" ht="15" hidden="false" customHeight="false" outlineLevel="0" collapsed="false">
      <c r="A412" s="4" t="s">
        <v>1322</v>
      </c>
      <c r="B412" s="4" t="s">
        <v>1322</v>
      </c>
      <c r="C412" s="4" t="s">
        <v>1323</v>
      </c>
      <c r="D412" s="4" t="s">
        <v>1324</v>
      </c>
    </row>
    <row r="413" customFormat="false" ht="15" hidden="false" customHeight="false" outlineLevel="0" collapsed="false">
      <c r="A413" s="4" t="s">
        <v>1325</v>
      </c>
      <c r="B413" s="4" t="s">
        <v>1325</v>
      </c>
      <c r="C413" s="4" t="s">
        <v>1326</v>
      </c>
      <c r="D413" s="4" t="s">
        <v>1327</v>
      </c>
    </row>
    <row r="414" customFormat="false" ht="15" hidden="false" customHeight="false" outlineLevel="0" collapsed="false">
      <c r="A414" s="4" t="s">
        <v>1328</v>
      </c>
      <c r="B414" s="4" t="s">
        <v>1328</v>
      </c>
      <c r="C414" s="4" t="s">
        <v>1329</v>
      </c>
      <c r="D414" s="4" t="s">
        <v>1330</v>
      </c>
    </row>
    <row r="415" customFormat="false" ht="15" hidden="false" customHeight="false" outlineLevel="0" collapsed="false">
      <c r="A415" s="4" t="s">
        <v>1331</v>
      </c>
      <c r="B415" s="4" t="s">
        <v>1331</v>
      </c>
      <c r="C415" s="4" t="s">
        <v>1332</v>
      </c>
      <c r="D415" s="4" t="s">
        <v>1333</v>
      </c>
    </row>
    <row r="416" customFormat="false" ht="15" hidden="false" customHeight="false" outlineLevel="0" collapsed="false">
      <c r="A416" s="4" t="s">
        <v>1334</v>
      </c>
      <c r="B416" s="4" t="s">
        <v>1334</v>
      </c>
      <c r="C416" s="4" t="s">
        <v>1335</v>
      </c>
      <c r="D416" s="4" t="s">
        <v>1336</v>
      </c>
    </row>
    <row r="417" customFormat="false" ht="15" hidden="false" customHeight="false" outlineLevel="0" collapsed="false">
      <c r="A417" s="4" t="s">
        <v>1337</v>
      </c>
      <c r="B417" s="4" t="s">
        <v>1337</v>
      </c>
      <c r="C417" s="4" t="s">
        <v>1338</v>
      </c>
      <c r="D417" s="4" t="s">
        <v>1339</v>
      </c>
    </row>
    <row r="418" customFormat="false" ht="15" hidden="false" customHeight="false" outlineLevel="0" collapsed="false">
      <c r="A418" s="4" t="s">
        <v>1340</v>
      </c>
      <c r="B418" s="4" t="s">
        <v>1340</v>
      </c>
      <c r="C418" s="4" t="s">
        <v>1341</v>
      </c>
      <c r="D418" s="6" t="n">
        <v>0</v>
      </c>
    </row>
    <row r="419" customFormat="false" ht="15" hidden="false" customHeight="false" outlineLevel="0" collapsed="false">
      <c r="A419" s="4" t="s">
        <v>1342</v>
      </c>
      <c r="B419" s="4" t="s">
        <v>1342</v>
      </c>
      <c r="C419" s="4" t="s">
        <v>1343</v>
      </c>
      <c r="D419" s="6" t="n">
        <v>0</v>
      </c>
    </row>
    <row r="420" customFormat="false" ht="15" hidden="false" customHeight="false" outlineLevel="0" collapsed="false">
      <c r="A420" s="4" t="s">
        <v>760</v>
      </c>
      <c r="B420" s="4" t="s">
        <v>760</v>
      </c>
      <c r="C420" s="4" t="s">
        <v>1344</v>
      </c>
      <c r="D420" s="6" t="n">
        <v>0</v>
      </c>
    </row>
    <row r="421" customFormat="false" ht="15" hidden="false" customHeight="false" outlineLevel="0" collapsed="false">
      <c r="A421" s="4" t="s">
        <v>1345</v>
      </c>
      <c r="B421" s="4" t="s">
        <v>1345</v>
      </c>
      <c r="C421" s="4" t="s">
        <v>1346</v>
      </c>
      <c r="D421" s="6" t="n">
        <v>0</v>
      </c>
    </row>
    <row r="422" customFormat="false" ht="15" hidden="false" customHeight="false" outlineLevel="0" collapsed="false">
      <c r="A422" s="4" t="s">
        <v>1347</v>
      </c>
      <c r="B422" s="4" t="s">
        <v>1347</v>
      </c>
      <c r="C422" s="4" t="s">
        <v>1348</v>
      </c>
      <c r="D422" s="6" t="n">
        <v>3</v>
      </c>
    </row>
    <row r="423" customFormat="false" ht="15" hidden="false" customHeight="false" outlineLevel="0" collapsed="false">
      <c r="A423" s="4" t="s">
        <v>1349</v>
      </c>
      <c r="B423" s="4" t="s">
        <v>1349</v>
      </c>
      <c r="C423" s="4" t="s">
        <v>1350</v>
      </c>
      <c r="D423" s="6" t="n">
        <v>3</v>
      </c>
    </row>
    <row r="424" customFormat="false" ht="15" hidden="false" customHeight="false" outlineLevel="0" collapsed="false">
      <c r="A424" s="4" t="s">
        <v>1351</v>
      </c>
      <c r="B424" s="4" t="s">
        <v>1351</v>
      </c>
      <c r="C424" s="4" t="s">
        <v>1352</v>
      </c>
      <c r="D424" s="6" t="n">
        <v>4</v>
      </c>
    </row>
    <row r="425" customFormat="false" ht="15" hidden="false" customHeight="false" outlineLevel="0" collapsed="false">
      <c r="A425" s="4" t="s">
        <v>1353</v>
      </c>
      <c r="B425" s="4" t="s">
        <v>1353</v>
      </c>
      <c r="C425" s="4" t="s">
        <v>1354</v>
      </c>
      <c r="D425" s="6" t="n">
        <v>4</v>
      </c>
    </row>
    <row r="426" customFormat="false" ht="15" hidden="false" customHeight="false" outlineLevel="0" collapsed="false">
      <c r="A426" s="4" t="s">
        <v>1355</v>
      </c>
      <c r="B426" s="4" t="s">
        <v>1355</v>
      </c>
      <c r="C426" s="4" t="s">
        <v>1356</v>
      </c>
      <c r="D426" s="6" t="n">
        <v>5</v>
      </c>
    </row>
    <row r="427" customFormat="false" ht="15" hidden="false" customHeight="false" outlineLevel="0" collapsed="false">
      <c r="A427" s="4" t="s">
        <v>1357</v>
      </c>
      <c r="B427" s="4" t="s">
        <v>1357</v>
      </c>
      <c r="C427" s="4" t="s">
        <v>1358</v>
      </c>
      <c r="D427" s="6" t="n">
        <v>6</v>
      </c>
    </row>
    <row r="428" customFormat="false" ht="15" hidden="false" customHeight="false" outlineLevel="0" collapsed="false">
      <c r="A428" s="4" t="s">
        <v>1359</v>
      </c>
      <c r="B428" s="4" t="s">
        <v>1359</v>
      </c>
      <c r="C428" s="4" t="s">
        <v>1360</v>
      </c>
      <c r="D428" s="6" t="n">
        <v>6</v>
      </c>
    </row>
    <row r="429" customFormat="false" ht="15" hidden="false" customHeight="false" outlineLevel="0" collapsed="false">
      <c r="A429" s="4" t="s">
        <v>1361</v>
      </c>
      <c r="B429" s="4" t="s">
        <v>1361</v>
      </c>
      <c r="C429" s="4" t="s">
        <v>1362</v>
      </c>
      <c r="D429" s="6" t="n">
        <v>7</v>
      </c>
    </row>
    <row r="430" customFormat="false" ht="15" hidden="false" customHeight="false" outlineLevel="0" collapsed="false">
      <c r="A430" s="4" t="s">
        <v>1363</v>
      </c>
      <c r="B430" s="4" t="s">
        <v>1363</v>
      </c>
      <c r="C430" s="4" t="s">
        <v>1364</v>
      </c>
      <c r="D430" s="6" t="n">
        <v>8</v>
      </c>
    </row>
    <row r="431" customFormat="false" ht="15" hidden="false" customHeight="false" outlineLevel="0" collapsed="false">
      <c r="A431" s="4" t="s">
        <v>685</v>
      </c>
      <c r="B431" s="4" t="s">
        <v>685</v>
      </c>
      <c r="C431" s="4" t="s">
        <v>1365</v>
      </c>
      <c r="D431" s="6" t="n">
        <v>9</v>
      </c>
    </row>
    <row r="432" customFormat="false" ht="15" hidden="false" customHeight="false" outlineLevel="0" collapsed="false">
      <c r="A432" s="4" t="s">
        <v>1366</v>
      </c>
      <c r="B432" s="4" t="s">
        <v>1366</v>
      </c>
      <c r="C432" s="4" t="s">
        <v>1367</v>
      </c>
      <c r="D432" s="6" t="n">
        <v>10</v>
      </c>
    </row>
    <row r="433" customFormat="false" ht="15" hidden="false" customHeight="false" outlineLevel="0" collapsed="false">
      <c r="A433" s="4" t="s">
        <v>1368</v>
      </c>
      <c r="B433" s="4" t="s">
        <v>1368</v>
      </c>
      <c r="C433" s="4" t="s">
        <v>1369</v>
      </c>
      <c r="D433" s="6" t="n">
        <v>11</v>
      </c>
    </row>
    <row r="434" customFormat="false" ht="15" hidden="false" customHeight="false" outlineLevel="0" collapsed="false">
      <c r="A434" s="4" t="s">
        <v>1370</v>
      </c>
      <c r="B434" s="4" t="s">
        <v>1370</v>
      </c>
      <c r="C434" s="4" t="s">
        <v>1371</v>
      </c>
      <c r="D434" s="6" t="n">
        <v>76</v>
      </c>
    </row>
    <row r="435" customFormat="false" ht="15" hidden="false" customHeight="false" outlineLevel="0" collapsed="false">
      <c r="A435" s="4" t="s">
        <v>1372</v>
      </c>
      <c r="B435" s="4" t="s">
        <v>1372</v>
      </c>
      <c r="C435" s="4" t="s">
        <v>1373</v>
      </c>
      <c r="D435" s="6" t="n">
        <v>0</v>
      </c>
    </row>
    <row r="436" customFormat="false" ht="15" hidden="false" customHeight="false" outlineLevel="0" collapsed="false">
      <c r="A436" s="4" t="s">
        <v>1374</v>
      </c>
      <c r="B436" s="4" t="s">
        <v>1374</v>
      </c>
      <c r="C436" s="4" t="s">
        <v>1375</v>
      </c>
      <c r="D436" s="6" t="n">
        <v>0</v>
      </c>
    </row>
    <row r="437" customFormat="false" ht="15" hidden="false" customHeight="false" outlineLevel="0" collapsed="false">
      <c r="A437" s="4" t="s">
        <v>762</v>
      </c>
      <c r="B437" s="4" t="s">
        <v>762</v>
      </c>
      <c r="C437" s="4" t="s">
        <v>1376</v>
      </c>
      <c r="D437" s="6" t="n">
        <v>0</v>
      </c>
    </row>
    <row r="438" customFormat="false" ht="15" hidden="false" customHeight="false" outlineLevel="0" collapsed="false">
      <c r="A438" s="4" t="s">
        <v>1377</v>
      </c>
      <c r="B438" s="4" t="s">
        <v>1377</v>
      </c>
      <c r="C438" s="4" t="s">
        <v>1378</v>
      </c>
      <c r="D438" s="6" t="n">
        <v>0</v>
      </c>
    </row>
    <row r="439" customFormat="false" ht="15" hidden="false" customHeight="false" outlineLevel="0" collapsed="false">
      <c r="A439" s="4" t="s">
        <v>1379</v>
      </c>
      <c r="B439" s="4" t="s">
        <v>1379</v>
      </c>
      <c r="C439" s="4" t="s">
        <v>1380</v>
      </c>
      <c r="D439" s="6" t="n">
        <v>948000</v>
      </c>
    </row>
    <row r="440" customFormat="false" ht="15" hidden="false" customHeight="false" outlineLevel="0" collapsed="false">
      <c r="A440" s="4" t="s">
        <v>1381</v>
      </c>
      <c r="B440" s="4" t="s">
        <v>1381</v>
      </c>
      <c r="C440" s="4" t="s">
        <v>1382</v>
      </c>
      <c r="D440" s="6" t="n">
        <v>948000</v>
      </c>
    </row>
    <row r="441" customFormat="false" ht="15" hidden="false" customHeight="false" outlineLevel="0" collapsed="false">
      <c r="A441" s="4" t="s">
        <v>1383</v>
      </c>
      <c r="B441" s="4" t="s">
        <v>1383</v>
      </c>
      <c r="C441" s="4" t="s">
        <v>1384</v>
      </c>
      <c r="D441" s="6" t="n">
        <v>1264000</v>
      </c>
    </row>
    <row r="442" customFormat="false" ht="15" hidden="false" customHeight="false" outlineLevel="0" collapsed="false">
      <c r="A442" s="4" t="s">
        <v>1385</v>
      </c>
      <c r="B442" s="4" t="s">
        <v>1385</v>
      </c>
      <c r="C442" s="4" t="s">
        <v>1386</v>
      </c>
      <c r="D442" s="6" t="n">
        <v>1264000</v>
      </c>
    </row>
    <row r="443" customFormat="false" ht="15" hidden="false" customHeight="false" outlineLevel="0" collapsed="false">
      <c r="A443" s="4" t="s">
        <v>1387</v>
      </c>
      <c r="B443" s="4" t="s">
        <v>1387</v>
      </c>
      <c r="C443" s="4" t="s">
        <v>1388</v>
      </c>
      <c r="D443" s="6" t="n">
        <v>1580000</v>
      </c>
    </row>
    <row r="444" customFormat="false" ht="15" hidden="false" customHeight="false" outlineLevel="0" collapsed="false">
      <c r="A444" s="4" t="s">
        <v>1389</v>
      </c>
      <c r="B444" s="4" t="s">
        <v>1389</v>
      </c>
      <c r="C444" s="4" t="s">
        <v>1390</v>
      </c>
      <c r="D444" s="6" t="n">
        <v>1896000</v>
      </c>
    </row>
    <row r="445" customFormat="false" ht="15" hidden="false" customHeight="false" outlineLevel="0" collapsed="false">
      <c r="A445" s="4" t="s">
        <v>1391</v>
      </c>
      <c r="B445" s="4" t="s">
        <v>1391</v>
      </c>
      <c r="C445" s="4" t="s">
        <v>1392</v>
      </c>
      <c r="D445" s="6" t="n">
        <v>1896000</v>
      </c>
    </row>
    <row r="446" customFormat="false" ht="15" hidden="false" customHeight="false" outlineLevel="0" collapsed="false">
      <c r="A446" s="4" t="s">
        <v>1393</v>
      </c>
      <c r="B446" s="4" t="s">
        <v>1393</v>
      </c>
      <c r="C446" s="4" t="s">
        <v>1394</v>
      </c>
      <c r="D446" s="6" t="n">
        <v>2212000</v>
      </c>
    </row>
    <row r="447" customFormat="false" ht="15" hidden="false" customHeight="false" outlineLevel="0" collapsed="false">
      <c r="A447" s="4" t="s">
        <v>1395</v>
      </c>
      <c r="B447" s="4" t="s">
        <v>1395</v>
      </c>
      <c r="C447" s="4" t="s">
        <v>1396</v>
      </c>
      <c r="D447" s="6" t="n">
        <v>2528000</v>
      </c>
    </row>
    <row r="448" customFormat="false" ht="15" hidden="false" customHeight="false" outlineLevel="0" collapsed="false">
      <c r="A448" s="4" t="s">
        <v>689</v>
      </c>
      <c r="B448" s="4" t="s">
        <v>689</v>
      </c>
      <c r="C448" s="4" t="s">
        <v>1397</v>
      </c>
      <c r="D448" s="6" t="n">
        <v>2844000</v>
      </c>
    </row>
    <row r="449" customFormat="false" ht="15" hidden="false" customHeight="false" outlineLevel="0" collapsed="false">
      <c r="A449" s="4" t="s">
        <v>1398</v>
      </c>
      <c r="B449" s="4" t="s">
        <v>1398</v>
      </c>
      <c r="C449" s="4" t="s">
        <v>1399</v>
      </c>
      <c r="D449" s="6" t="n">
        <v>3160000</v>
      </c>
    </row>
    <row r="450" customFormat="false" ht="15" hidden="false" customHeight="false" outlineLevel="0" collapsed="false">
      <c r="A450" s="4" t="s">
        <v>1400</v>
      </c>
      <c r="B450" s="4" t="s">
        <v>1400</v>
      </c>
      <c r="C450" s="4" t="s">
        <v>1401</v>
      </c>
      <c r="D450" s="6" t="n">
        <v>3476000</v>
      </c>
    </row>
    <row r="451" customFormat="false" ht="15" hidden="false" customHeight="false" outlineLevel="0" collapsed="false">
      <c r="A451" s="4" t="s">
        <v>1402</v>
      </c>
      <c r="B451" s="4" t="s">
        <v>1402</v>
      </c>
      <c r="C451" s="4" t="s">
        <v>1403</v>
      </c>
      <c r="D451" s="6" t="n">
        <v>24016000</v>
      </c>
    </row>
    <row r="452" customFormat="false" ht="15" hidden="false" customHeight="false" outlineLevel="0" collapsed="false">
      <c r="A452" s="4" t="s">
        <v>1404</v>
      </c>
      <c r="B452" s="4" t="s">
        <v>1404</v>
      </c>
      <c r="C452" s="4" t="s">
        <v>1405</v>
      </c>
      <c r="D452" s="6" t="n">
        <v>0</v>
      </c>
    </row>
    <row r="453" customFormat="false" ht="15" hidden="false" customHeight="false" outlineLevel="0" collapsed="false">
      <c r="A453" s="4" t="s">
        <v>1406</v>
      </c>
      <c r="B453" s="4" t="s">
        <v>1406</v>
      </c>
      <c r="C453" s="4" t="s">
        <v>1407</v>
      </c>
      <c r="D453" s="6" t="n">
        <v>0</v>
      </c>
    </row>
    <row r="454" customFormat="false" ht="15" hidden="false" customHeight="false" outlineLevel="0" collapsed="false">
      <c r="A454" s="4" t="s">
        <v>1408</v>
      </c>
      <c r="B454" s="4" t="s">
        <v>1408</v>
      </c>
      <c r="C454" s="4" t="s">
        <v>1409</v>
      </c>
      <c r="D454" s="6" t="n">
        <v>0</v>
      </c>
    </row>
    <row r="455" customFormat="false" ht="15" hidden="false" customHeight="false" outlineLevel="0" collapsed="false">
      <c r="A455" s="4" t="s">
        <v>1410</v>
      </c>
      <c r="B455" s="4" t="s">
        <v>1410</v>
      </c>
      <c r="C455" s="4" t="s">
        <v>1411</v>
      </c>
      <c r="D455" s="6" t="n">
        <v>0</v>
      </c>
    </row>
    <row r="456" customFormat="false" ht="15" hidden="false" customHeight="false" outlineLevel="0" collapsed="false">
      <c r="A456" s="4" t="s">
        <v>1412</v>
      </c>
      <c r="B456" s="4" t="s">
        <v>1412</v>
      </c>
      <c r="C456" s="4" t="s">
        <v>1413</v>
      </c>
      <c r="D456" s="6" t="n">
        <v>1</v>
      </c>
    </row>
    <row r="457" customFormat="false" ht="15" hidden="false" customHeight="false" outlineLevel="0" collapsed="false">
      <c r="A457" s="4" t="s">
        <v>1414</v>
      </c>
      <c r="B457" s="4" t="s">
        <v>1414</v>
      </c>
      <c r="C457" s="4" t="s">
        <v>1415</v>
      </c>
      <c r="D457" s="6" t="n">
        <v>1</v>
      </c>
    </row>
    <row r="458" customFormat="false" ht="15" hidden="false" customHeight="false" outlineLevel="0" collapsed="false">
      <c r="A458" s="4" t="s">
        <v>1416</v>
      </c>
      <c r="B458" s="4" t="s">
        <v>1416</v>
      </c>
      <c r="C458" s="4" t="s">
        <v>1417</v>
      </c>
      <c r="D458" s="6" t="n">
        <v>2</v>
      </c>
    </row>
    <row r="459" customFormat="false" ht="15" hidden="false" customHeight="false" outlineLevel="0" collapsed="false">
      <c r="A459" s="4" t="s">
        <v>1418</v>
      </c>
      <c r="B459" s="4" t="s">
        <v>1418</v>
      </c>
      <c r="C459" s="4" t="s">
        <v>1419</v>
      </c>
      <c r="D459" s="6" t="n">
        <v>1</v>
      </c>
    </row>
    <row r="460" customFormat="false" ht="15" hidden="false" customHeight="false" outlineLevel="0" collapsed="false">
      <c r="A460" s="4" t="s">
        <v>1420</v>
      </c>
      <c r="B460" s="4" t="s">
        <v>1420</v>
      </c>
      <c r="C460" s="4" t="s">
        <v>1421</v>
      </c>
      <c r="D460" s="6" t="n">
        <v>1</v>
      </c>
    </row>
    <row r="461" customFormat="false" ht="15" hidden="false" customHeight="false" outlineLevel="0" collapsed="false">
      <c r="A461" s="4" t="s">
        <v>1422</v>
      </c>
      <c r="B461" s="4" t="s">
        <v>1422</v>
      </c>
      <c r="C461" s="4" t="s">
        <v>1423</v>
      </c>
      <c r="D461" s="6" t="n">
        <v>2</v>
      </c>
    </row>
    <row r="462" customFormat="false" ht="15" hidden="false" customHeight="false" outlineLevel="0" collapsed="false">
      <c r="A462" s="4" t="s">
        <v>1424</v>
      </c>
      <c r="B462" s="4" t="s">
        <v>1424</v>
      </c>
      <c r="C462" s="4" t="s">
        <v>1425</v>
      </c>
      <c r="D462" s="6" t="n">
        <v>2</v>
      </c>
    </row>
    <row r="463" customFormat="false" ht="15" hidden="false" customHeight="false" outlineLevel="0" collapsed="false">
      <c r="A463" s="4" t="s">
        <v>1426</v>
      </c>
      <c r="B463" s="4" t="s">
        <v>1426</v>
      </c>
      <c r="C463" s="4" t="s">
        <v>1427</v>
      </c>
      <c r="D463" s="6" t="n">
        <v>3</v>
      </c>
    </row>
    <row r="464" customFormat="false" ht="15" hidden="false" customHeight="false" outlineLevel="0" collapsed="false">
      <c r="A464" s="4" t="s">
        <v>1428</v>
      </c>
      <c r="B464" s="4" t="s">
        <v>1428</v>
      </c>
      <c r="C464" s="4" t="s">
        <v>1429</v>
      </c>
      <c r="D464" s="6" t="n">
        <v>2</v>
      </c>
    </row>
    <row r="465" customFormat="false" ht="15" hidden="false" customHeight="false" outlineLevel="0" collapsed="false">
      <c r="A465" s="4" t="s">
        <v>693</v>
      </c>
      <c r="B465" s="4" t="s">
        <v>693</v>
      </c>
      <c r="C465" s="4" t="s">
        <v>1430</v>
      </c>
      <c r="D465" s="6" t="n">
        <v>3</v>
      </c>
    </row>
    <row r="466" customFormat="false" ht="15" hidden="false" customHeight="false" outlineLevel="0" collapsed="false">
      <c r="A466" s="4" t="s">
        <v>1431</v>
      </c>
      <c r="B466" s="4" t="s">
        <v>1431</v>
      </c>
      <c r="C466" s="4" t="s">
        <v>1432</v>
      </c>
      <c r="D466" s="6" t="n">
        <v>4</v>
      </c>
    </row>
    <row r="467" customFormat="false" ht="15" hidden="false" customHeight="false" outlineLevel="0" collapsed="false">
      <c r="A467" s="4" t="s">
        <v>1433</v>
      </c>
      <c r="B467" s="4" t="s">
        <v>1433</v>
      </c>
      <c r="C467" s="4" t="s">
        <v>1434</v>
      </c>
      <c r="D467" s="6" t="n">
        <v>3</v>
      </c>
    </row>
    <row r="468" customFormat="false" ht="15" hidden="false" customHeight="false" outlineLevel="0" collapsed="false">
      <c r="A468" s="4" t="s">
        <v>1435</v>
      </c>
      <c r="B468" s="4" t="s">
        <v>1435</v>
      </c>
      <c r="C468" s="4" t="s">
        <v>1436</v>
      </c>
      <c r="D468" s="6" t="n">
        <v>25</v>
      </c>
    </row>
    <row r="469" customFormat="false" ht="15" hidden="false" customHeight="false" outlineLevel="0" collapsed="false">
      <c r="A469" s="4" t="s">
        <v>1437</v>
      </c>
      <c r="B469" s="4" t="s">
        <v>1437</v>
      </c>
      <c r="C469" s="4" t="s">
        <v>1438</v>
      </c>
      <c r="D469" s="6" t="n">
        <v>0</v>
      </c>
    </row>
    <row r="470" customFormat="false" ht="15" hidden="false" customHeight="false" outlineLevel="0" collapsed="false">
      <c r="A470" s="4" t="s">
        <v>1439</v>
      </c>
      <c r="B470" s="4" t="s">
        <v>1439</v>
      </c>
      <c r="C470" s="4" t="s">
        <v>1440</v>
      </c>
      <c r="D470" s="6" t="n">
        <v>0</v>
      </c>
    </row>
    <row r="471" customFormat="false" ht="15" hidden="false" customHeight="false" outlineLevel="0" collapsed="false">
      <c r="A471" s="4" t="s">
        <v>1441</v>
      </c>
      <c r="B471" s="4" t="s">
        <v>1441</v>
      </c>
      <c r="C471" s="4" t="s">
        <v>1442</v>
      </c>
      <c r="D471" s="6" t="n">
        <v>0</v>
      </c>
    </row>
    <row r="472" customFormat="false" ht="15" hidden="false" customHeight="false" outlineLevel="0" collapsed="false">
      <c r="A472" s="4" t="s">
        <v>1443</v>
      </c>
      <c r="B472" s="4" t="s">
        <v>1443</v>
      </c>
      <c r="C472" s="4" t="s">
        <v>1444</v>
      </c>
      <c r="D472" s="6" t="n">
        <v>0</v>
      </c>
    </row>
    <row r="473" customFormat="false" ht="15" hidden="false" customHeight="false" outlineLevel="0" collapsed="false">
      <c r="A473" s="4" t="s">
        <v>1445</v>
      </c>
      <c r="B473" s="4" t="s">
        <v>1445</v>
      </c>
      <c r="C473" s="4" t="s">
        <v>1446</v>
      </c>
      <c r="D473" s="6" t="n">
        <v>255142.5</v>
      </c>
    </row>
    <row r="474" customFormat="false" ht="15" hidden="false" customHeight="false" outlineLevel="0" collapsed="false">
      <c r="A474" s="4" t="s">
        <v>1447</v>
      </c>
      <c r="B474" s="4" t="s">
        <v>1447</v>
      </c>
      <c r="C474" s="4" t="s">
        <v>1448</v>
      </c>
      <c r="D474" s="6" t="n">
        <v>255142.5</v>
      </c>
    </row>
    <row r="475" customFormat="false" ht="15" hidden="false" customHeight="false" outlineLevel="0" collapsed="false">
      <c r="A475" s="4" t="s">
        <v>1449</v>
      </c>
      <c r="B475" s="4" t="s">
        <v>1449</v>
      </c>
      <c r="C475" s="4" t="s">
        <v>1450</v>
      </c>
      <c r="D475" s="6" t="n">
        <v>255142.5</v>
      </c>
    </row>
    <row r="476" customFormat="false" ht="15" hidden="false" customHeight="false" outlineLevel="0" collapsed="false">
      <c r="A476" s="4" t="s">
        <v>1451</v>
      </c>
      <c r="B476" s="4" t="s">
        <v>1451</v>
      </c>
      <c r="C476" s="4" t="s">
        <v>1452</v>
      </c>
      <c r="D476" s="6" t="n">
        <v>255142.5</v>
      </c>
    </row>
    <row r="477" customFormat="false" ht="15" hidden="false" customHeight="false" outlineLevel="0" collapsed="false">
      <c r="A477" s="4" t="s">
        <v>1453</v>
      </c>
      <c r="B477" s="4" t="s">
        <v>1453</v>
      </c>
      <c r="C477" s="4" t="s">
        <v>1454</v>
      </c>
      <c r="D477" s="6" t="n">
        <v>321502.5</v>
      </c>
    </row>
    <row r="478" customFormat="false" ht="15" hidden="false" customHeight="false" outlineLevel="0" collapsed="false">
      <c r="A478" s="4" t="s">
        <v>1455</v>
      </c>
      <c r="B478" s="4" t="s">
        <v>1455</v>
      </c>
      <c r="C478" s="4" t="s">
        <v>1456</v>
      </c>
      <c r="D478" s="6" t="n">
        <v>387862.5</v>
      </c>
    </row>
    <row r="479" customFormat="false" ht="15" hidden="false" customHeight="false" outlineLevel="0" collapsed="false">
      <c r="A479" s="4" t="s">
        <v>1457</v>
      </c>
      <c r="B479" s="4" t="s">
        <v>1457</v>
      </c>
      <c r="C479" s="4" t="s">
        <v>1458</v>
      </c>
      <c r="D479" s="6" t="n">
        <v>476342.5</v>
      </c>
    </row>
    <row r="480" customFormat="false" ht="15" hidden="false" customHeight="false" outlineLevel="0" collapsed="false">
      <c r="A480" s="4" t="s">
        <v>1459</v>
      </c>
      <c r="B480" s="4" t="s">
        <v>1459</v>
      </c>
      <c r="C480" s="4" t="s">
        <v>1460</v>
      </c>
      <c r="D480" s="6" t="n">
        <v>515526.5</v>
      </c>
    </row>
    <row r="481" customFormat="false" ht="15" hidden="false" customHeight="false" outlineLevel="0" collapsed="false">
      <c r="A481" s="4" t="s">
        <v>1461</v>
      </c>
      <c r="B481" s="4" t="s">
        <v>1461</v>
      </c>
      <c r="C481" s="4" t="s">
        <v>1462</v>
      </c>
      <c r="D481" s="6" t="n">
        <v>576830.5</v>
      </c>
    </row>
    <row r="482" customFormat="false" ht="15" hidden="false" customHeight="false" outlineLevel="0" collapsed="false">
      <c r="A482" s="4" t="s">
        <v>1463</v>
      </c>
      <c r="B482" s="4" t="s">
        <v>1463</v>
      </c>
      <c r="C482" s="4" t="s">
        <v>1464</v>
      </c>
      <c r="D482" s="6" t="n">
        <v>643822.5</v>
      </c>
    </row>
    <row r="483" customFormat="false" ht="15" hidden="false" customHeight="false" outlineLevel="0" collapsed="false">
      <c r="A483" s="4" t="s">
        <v>1465</v>
      </c>
      <c r="B483" s="4" t="s">
        <v>1465</v>
      </c>
      <c r="C483" s="4" t="s">
        <v>1466</v>
      </c>
      <c r="D483" s="6" t="n">
        <v>710814.5</v>
      </c>
    </row>
    <row r="484" customFormat="false" ht="15" hidden="false" customHeight="false" outlineLevel="0" collapsed="false">
      <c r="A484" s="4" t="s">
        <v>1467</v>
      </c>
      <c r="B484" s="4" t="s">
        <v>1467</v>
      </c>
      <c r="C484" s="4" t="s">
        <v>1468</v>
      </c>
      <c r="D484" s="6" t="n">
        <v>783494.5</v>
      </c>
    </row>
    <row r="485" customFormat="false" ht="15" hidden="false" customHeight="false" outlineLevel="0" collapsed="false">
      <c r="A485" s="4" t="s">
        <v>1469</v>
      </c>
      <c r="B485" s="4" t="s">
        <v>1469</v>
      </c>
      <c r="C485" s="4" t="s">
        <v>1470</v>
      </c>
      <c r="D485" s="6" t="n">
        <v>5436766</v>
      </c>
    </row>
    <row r="486" customFormat="false" ht="15" hidden="false" customHeight="false" outlineLevel="0" collapsed="false">
      <c r="A486" s="4" t="s">
        <v>1471</v>
      </c>
      <c r="B486" s="4" t="s">
        <v>1471</v>
      </c>
      <c r="C486" s="4" t="s">
        <v>1472</v>
      </c>
      <c r="D486" s="6" t="n">
        <v>3</v>
      </c>
    </row>
    <row r="487" customFormat="false" ht="15" hidden="false" customHeight="false" outlineLevel="0" collapsed="false">
      <c r="A487" s="4" t="s">
        <v>1473</v>
      </c>
      <c r="B487" s="4" t="s">
        <v>1473</v>
      </c>
      <c r="C487" s="4" t="s">
        <v>1474</v>
      </c>
      <c r="D487" s="6" t="n">
        <v>0</v>
      </c>
    </row>
    <row r="488" customFormat="false" ht="15" hidden="false" customHeight="false" outlineLevel="0" collapsed="false">
      <c r="A488" s="4" t="s">
        <v>1475</v>
      </c>
      <c r="B488" s="4" t="s">
        <v>1475</v>
      </c>
      <c r="C488" s="4" t="s">
        <v>1476</v>
      </c>
      <c r="D488" s="6" t="n">
        <v>3</v>
      </c>
    </row>
    <row r="489" customFormat="false" ht="15" hidden="false" customHeight="false" outlineLevel="0" collapsed="false">
      <c r="A489" s="4" t="s">
        <v>1477</v>
      </c>
      <c r="B489" s="4" t="s">
        <v>1477</v>
      </c>
      <c r="C489" s="4" t="s">
        <v>1478</v>
      </c>
      <c r="D489" s="6" t="n">
        <v>2</v>
      </c>
    </row>
    <row r="490" customFormat="false" ht="15" hidden="false" customHeight="false" outlineLevel="0" collapsed="false">
      <c r="A490" s="4" t="s">
        <v>1479</v>
      </c>
      <c r="B490" s="4" t="s">
        <v>1479</v>
      </c>
      <c r="C490" s="4" t="s">
        <v>1480</v>
      </c>
      <c r="D490" s="6" t="n">
        <v>0</v>
      </c>
    </row>
    <row r="491" customFormat="false" ht="15" hidden="false" customHeight="false" outlineLevel="0" collapsed="false">
      <c r="A491" s="4" t="s">
        <v>1481</v>
      </c>
      <c r="B491" s="4" t="s">
        <v>1481</v>
      </c>
      <c r="C491" s="4" t="s">
        <v>1482</v>
      </c>
      <c r="D491" s="6" t="n">
        <v>0</v>
      </c>
    </row>
    <row r="492" customFormat="false" ht="15" hidden="false" customHeight="false" outlineLevel="0" collapsed="false">
      <c r="A492" s="4" t="s">
        <v>1483</v>
      </c>
      <c r="B492" s="4" t="s">
        <v>1483</v>
      </c>
      <c r="C492" s="4" t="s">
        <v>1484</v>
      </c>
      <c r="D492" s="6" t="n">
        <v>0</v>
      </c>
    </row>
    <row r="493" customFormat="false" ht="15" hidden="false" customHeight="false" outlineLevel="0" collapsed="false">
      <c r="A493" s="4" t="s">
        <v>1485</v>
      </c>
      <c r="B493" s="4" t="s">
        <v>1485</v>
      </c>
      <c r="C493" s="4" t="s">
        <v>1486</v>
      </c>
      <c r="D493" s="6" t="n">
        <v>0</v>
      </c>
    </row>
    <row r="494" customFormat="false" ht="15" hidden="false" customHeight="false" outlineLevel="0" collapsed="false">
      <c r="A494" s="4" t="s">
        <v>1487</v>
      </c>
      <c r="B494" s="4" t="s">
        <v>1487</v>
      </c>
      <c r="C494" s="4" t="s">
        <v>1488</v>
      </c>
      <c r="D494" s="6" t="n">
        <v>0</v>
      </c>
    </row>
    <row r="495" customFormat="false" ht="15" hidden="false" customHeight="false" outlineLevel="0" collapsed="false">
      <c r="A495" s="4" t="s">
        <v>1489</v>
      </c>
      <c r="B495" s="4" t="s">
        <v>1489</v>
      </c>
      <c r="C495" s="4" t="s">
        <v>1490</v>
      </c>
      <c r="D495" s="6" t="n">
        <v>0</v>
      </c>
    </row>
    <row r="496" customFormat="false" ht="15" hidden="false" customHeight="false" outlineLevel="0" collapsed="false">
      <c r="A496" s="4" t="s">
        <v>1491</v>
      </c>
      <c r="B496" s="4" t="s">
        <v>1491</v>
      </c>
      <c r="C496" s="4" t="s">
        <v>1492</v>
      </c>
      <c r="D496" s="6" t="n">
        <v>0</v>
      </c>
    </row>
    <row r="497" customFormat="false" ht="15" hidden="false" customHeight="false" outlineLevel="0" collapsed="false">
      <c r="A497" s="4" t="s">
        <v>1493</v>
      </c>
      <c r="B497" s="4" t="s">
        <v>1493</v>
      </c>
      <c r="C497" s="4" t="s">
        <v>1494</v>
      </c>
      <c r="D497" s="6" t="n">
        <v>0</v>
      </c>
    </row>
    <row r="498" customFormat="false" ht="15" hidden="false" customHeight="false" outlineLevel="0" collapsed="false">
      <c r="A498" s="4" t="s">
        <v>1495</v>
      </c>
      <c r="B498" s="4" t="s">
        <v>1495</v>
      </c>
      <c r="C498" s="4" t="s">
        <v>1496</v>
      </c>
      <c r="D498" s="6" t="n">
        <v>0</v>
      </c>
    </row>
    <row r="499" customFormat="false" ht="15" hidden="false" customHeight="false" outlineLevel="0" collapsed="false">
      <c r="A499" s="4" t="s">
        <v>1497</v>
      </c>
      <c r="B499" s="4" t="s">
        <v>1497</v>
      </c>
      <c r="C499" s="4" t="s">
        <v>1498</v>
      </c>
      <c r="D499" s="6" t="n">
        <v>0</v>
      </c>
    </row>
    <row r="500" customFormat="false" ht="15" hidden="false" customHeight="false" outlineLevel="0" collapsed="false">
      <c r="A500" s="4" t="s">
        <v>1499</v>
      </c>
      <c r="B500" s="4" t="s">
        <v>1499</v>
      </c>
      <c r="C500" s="4" t="s">
        <v>1500</v>
      </c>
      <c r="D500" s="6" t="n">
        <v>0</v>
      </c>
    </row>
    <row r="501" customFormat="false" ht="15" hidden="false" customHeight="false" outlineLevel="0" collapsed="false">
      <c r="A501" s="4" t="s">
        <v>1501</v>
      </c>
      <c r="B501" s="4" t="s">
        <v>1501</v>
      </c>
      <c r="C501" s="4" t="s">
        <v>1502</v>
      </c>
      <c r="D501" s="6" t="n">
        <v>0</v>
      </c>
    </row>
    <row r="502" customFormat="false" ht="15" hidden="false" customHeight="false" outlineLevel="0" collapsed="false">
      <c r="A502" s="4" t="s">
        <v>1503</v>
      </c>
      <c r="B502" s="4" t="s">
        <v>1503</v>
      </c>
      <c r="C502" s="4" t="s">
        <v>1504</v>
      </c>
      <c r="D502" s="6" t="n">
        <v>1280300</v>
      </c>
    </row>
    <row r="503" customFormat="false" ht="15" hidden="false" customHeight="false" outlineLevel="0" collapsed="false">
      <c r="A503" s="4" t="s">
        <v>1505</v>
      </c>
      <c r="B503" s="4" t="s">
        <v>1505</v>
      </c>
      <c r="C503" s="4" t="s">
        <v>1506</v>
      </c>
      <c r="D503" s="6" t="n">
        <v>0</v>
      </c>
    </row>
    <row r="504" customFormat="false" ht="15" hidden="false" customHeight="false" outlineLevel="0" collapsed="false">
      <c r="A504" s="4" t="s">
        <v>1507</v>
      </c>
      <c r="B504" s="4" t="s">
        <v>1507</v>
      </c>
      <c r="C504" s="4" t="s">
        <v>1508</v>
      </c>
      <c r="D504" s="6" t="n">
        <v>1632000</v>
      </c>
    </row>
    <row r="505" customFormat="false" ht="15" hidden="false" customHeight="false" outlineLevel="0" collapsed="false">
      <c r="A505" s="4" t="s">
        <v>1509</v>
      </c>
      <c r="B505" s="4" t="s">
        <v>1509</v>
      </c>
      <c r="C505" s="4" t="s">
        <v>1510</v>
      </c>
      <c r="D505" s="6" t="n">
        <v>632000</v>
      </c>
    </row>
    <row r="506" customFormat="false" ht="15" hidden="false" customHeight="false" outlineLevel="0" collapsed="false">
      <c r="A506" s="4" t="s">
        <v>1511</v>
      </c>
      <c r="B506" s="4" t="s">
        <v>1511</v>
      </c>
      <c r="C506" s="4" t="s">
        <v>1512</v>
      </c>
      <c r="D506" s="6" t="n">
        <v>0</v>
      </c>
    </row>
    <row r="507" customFormat="false" ht="15" hidden="false" customHeight="false" outlineLevel="0" collapsed="false">
      <c r="A507" s="4" t="s">
        <v>1513</v>
      </c>
      <c r="B507" s="4" t="s">
        <v>1513</v>
      </c>
      <c r="C507" s="4" t="s">
        <v>1514</v>
      </c>
      <c r="D507" s="6" t="n">
        <v>0</v>
      </c>
    </row>
    <row r="508" customFormat="false" ht="15" hidden="false" customHeight="false" outlineLevel="0" collapsed="false">
      <c r="A508" s="4" t="s">
        <v>1515</v>
      </c>
      <c r="B508" s="4" t="s">
        <v>1515</v>
      </c>
      <c r="C508" s="4" t="s">
        <v>1516</v>
      </c>
      <c r="D508" s="6" t="n">
        <v>0</v>
      </c>
    </row>
    <row r="509" customFormat="false" ht="15" hidden="false" customHeight="false" outlineLevel="0" collapsed="false">
      <c r="A509" s="4" t="s">
        <v>1517</v>
      </c>
      <c r="B509" s="4" t="s">
        <v>1517</v>
      </c>
      <c r="C509" s="4" t="s">
        <v>1518</v>
      </c>
      <c r="D509" s="6" t="n">
        <v>0</v>
      </c>
    </row>
    <row r="510" customFormat="false" ht="15" hidden="false" customHeight="false" outlineLevel="0" collapsed="false">
      <c r="A510" s="4" t="s">
        <v>1519</v>
      </c>
      <c r="B510" s="4" t="s">
        <v>1519</v>
      </c>
      <c r="C510" s="4" t="s">
        <v>1520</v>
      </c>
      <c r="D510" s="6" t="n">
        <v>0</v>
      </c>
    </row>
    <row r="511" customFormat="false" ht="15" hidden="false" customHeight="false" outlineLevel="0" collapsed="false">
      <c r="A511" s="4" t="s">
        <v>1521</v>
      </c>
      <c r="B511" s="4" t="s">
        <v>1521</v>
      </c>
      <c r="C511" s="4" t="s">
        <v>1522</v>
      </c>
      <c r="D511" s="6" t="n">
        <v>0</v>
      </c>
    </row>
    <row r="512" customFormat="false" ht="15" hidden="false" customHeight="false" outlineLevel="0" collapsed="false">
      <c r="A512" s="4" t="s">
        <v>1523</v>
      </c>
      <c r="B512" s="4" t="s">
        <v>1523</v>
      </c>
      <c r="C512" s="4" t="s">
        <v>1524</v>
      </c>
      <c r="D512" s="6" t="n">
        <v>0</v>
      </c>
    </row>
    <row r="513" customFormat="false" ht="15" hidden="false" customHeight="false" outlineLevel="0" collapsed="false">
      <c r="A513" s="4" t="s">
        <v>1525</v>
      </c>
      <c r="B513" s="4" t="s">
        <v>1525</v>
      </c>
      <c r="C513" s="4" t="s">
        <v>1526</v>
      </c>
      <c r="D513" s="6" t="n">
        <v>0</v>
      </c>
    </row>
    <row r="514" customFormat="false" ht="15" hidden="false" customHeight="false" outlineLevel="0" collapsed="false">
      <c r="A514" s="4" t="s">
        <v>1527</v>
      </c>
      <c r="B514" s="4" t="s">
        <v>1527</v>
      </c>
      <c r="C514" s="4" t="s">
        <v>1528</v>
      </c>
      <c r="D514" s="6" t="n">
        <v>0</v>
      </c>
    </row>
    <row r="515" customFormat="false" ht="15" hidden="false" customHeight="false" outlineLevel="0" collapsed="false">
      <c r="A515" s="4" t="s">
        <v>1529</v>
      </c>
      <c r="B515" s="4" t="s">
        <v>1529</v>
      </c>
      <c r="C515" s="4" t="s">
        <v>1530</v>
      </c>
      <c r="D515" s="6" t="n">
        <v>0</v>
      </c>
    </row>
    <row r="516" customFormat="false" ht="15" hidden="false" customHeight="false" outlineLevel="0" collapsed="false">
      <c r="A516" s="4" t="s">
        <v>1531</v>
      </c>
      <c r="B516" s="4" t="s">
        <v>1531</v>
      </c>
      <c r="C516" s="4" t="s">
        <v>1532</v>
      </c>
      <c r="D516" s="6" t="n">
        <v>0</v>
      </c>
    </row>
    <row r="517" customFormat="false" ht="15" hidden="false" customHeight="false" outlineLevel="0" collapsed="false">
      <c r="A517" s="4" t="s">
        <v>1533</v>
      </c>
      <c r="B517" s="4" t="s">
        <v>1533</v>
      </c>
      <c r="C517" s="4" t="s">
        <v>1534</v>
      </c>
      <c r="D517" s="6" t="n">
        <v>0</v>
      </c>
    </row>
    <row r="518" customFormat="false" ht="15" hidden="false" customHeight="false" outlineLevel="0" collapsed="false">
      <c r="A518" s="4" t="s">
        <v>1535</v>
      </c>
      <c r="B518" s="4" t="s">
        <v>1535</v>
      </c>
      <c r="C518" s="4" t="s">
        <v>1536</v>
      </c>
      <c r="D518" s="6" t="n">
        <v>0</v>
      </c>
    </row>
    <row r="519" customFormat="false" ht="82.05" hidden="false" customHeight="false" outlineLevel="0" collapsed="false">
      <c r="A519" s="4" t="s">
        <v>1537</v>
      </c>
      <c r="B519" s="4" t="s">
        <v>1537</v>
      </c>
      <c r="C519" s="4" t="s">
        <v>1538</v>
      </c>
      <c r="D519" s="6" t="n">
        <v>0</v>
      </c>
    </row>
    <row r="520" customFormat="false" ht="82.05" hidden="false" customHeight="false" outlineLevel="0" collapsed="false">
      <c r="A520" s="4" t="s">
        <v>1539</v>
      </c>
      <c r="B520" s="4" t="s">
        <v>1539</v>
      </c>
      <c r="C520" s="4" t="s">
        <v>1540</v>
      </c>
      <c r="D520" s="6" t="n">
        <v>2</v>
      </c>
    </row>
    <row r="521" customFormat="false" ht="82.05" hidden="false" customHeight="false" outlineLevel="0" collapsed="false">
      <c r="A521" s="4" t="s">
        <v>1541</v>
      </c>
      <c r="B521" s="4" t="s">
        <v>1541</v>
      </c>
      <c r="C521" s="4" t="s">
        <v>1542</v>
      </c>
      <c r="D521" s="6" t="n">
        <v>2</v>
      </c>
    </row>
    <row r="522" customFormat="false" ht="82.05" hidden="false" customHeight="false" outlineLevel="0" collapsed="false">
      <c r="A522" s="4" t="s">
        <v>1543</v>
      </c>
      <c r="B522" s="4" t="s">
        <v>1543</v>
      </c>
      <c r="C522" s="4" t="s">
        <v>1544</v>
      </c>
      <c r="D522" s="6" t="n">
        <v>0</v>
      </c>
    </row>
    <row r="523" customFormat="false" ht="82.05" hidden="false" customHeight="false" outlineLevel="0" collapsed="false">
      <c r="A523" s="4" t="s">
        <v>1545</v>
      </c>
      <c r="B523" s="4" t="s">
        <v>1545</v>
      </c>
      <c r="C523" s="4" t="s">
        <v>1546</v>
      </c>
      <c r="D523" s="6" t="n">
        <v>3</v>
      </c>
    </row>
    <row r="524" customFormat="false" ht="82.05" hidden="false" customHeight="false" outlineLevel="0" collapsed="false">
      <c r="A524" s="4" t="s">
        <v>1547</v>
      </c>
      <c r="B524" s="4" t="s">
        <v>1547</v>
      </c>
      <c r="C524" s="4" t="s">
        <v>1548</v>
      </c>
      <c r="D524" s="6" t="n">
        <v>2</v>
      </c>
    </row>
    <row r="525" customFormat="false" ht="82.05" hidden="false" customHeight="false" outlineLevel="0" collapsed="false">
      <c r="A525" s="4" t="s">
        <v>1549</v>
      </c>
      <c r="B525" s="4" t="s">
        <v>1549</v>
      </c>
      <c r="C525" s="4" t="s">
        <v>1550</v>
      </c>
      <c r="D525" s="6" t="n">
        <v>0</v>
      </c>
    </row>
    <row r="526" customFormat="false" ht="82.05" hidden="false" customHeight="false" outlineLevel="0" collapsed="false">
      <c r="A526" s="4" t="s">
        <v>1551</v>
      </c>
      <c r="B526" s="4" t="s">
        <v>1551</v>
      </c>
      <c r="C526" s="4" t="s">
        <v>1552</v>
      </c>
      <c r="D526" s="6" t="n">
        <v>5</v>
      </c>
    </row>
    <row r="527" customFormat="false" ht="82.05" hidden="false" customHeight="false" outlineLevel="0" collapsed="false">
      <c r="A527" s="4" t="s">
        <v>1553</v>
      </c>
      <c r="B527" s="4" t="s">
        <v>1553</v>
      </c>
      <c r="C527" s="4" t="s">
        <v>1554</v>
      </c>
      <c r="D527" s="6" t="n">
        <v>4</v>
      </c>
    </row>
    <row r="528" customFormat="false" ht="82.05" hidden="false" customHeight="false" outlineLevel="0" collapsed="false">
      <c r="A528" s="4" t="s">
        <v>1555</v>
      </c>
      <c r="B528" s="4" t="s">
        <v>1555</v>
      </c>
      <c r="C528" s="4" t="s">
        <v>1556</v>
      </c>
      <c r="D528" s="6" t="n">
        <v>6</v>
      </c>
    </row>
    <row r="529" customFormat="false" ht="82.05" hidden="false" customHeight="false" outlineLevel="0" collapsed="false">
      <c r="A529" s="4" t="s">
        <v>1557</v>
      </c>
      <c r="B529" s="4" t="s">
        <v>1557</v>
      </c>
      <c r="C529" s="4" t="s">
        <v>1558</v>
      </c>
      <c r="D529" s="6" t="n">
        <v>5</v>
      </c>
    </row>
    <row r="530" customFormat="false" ht="82.05" hidden="false" customHeight="false" outlineLevel="0" collapsed="false">
      <c r="A530" s="4" t="s">
        <v>1559</v>
      </c>
      <c r="B530" s="4" t="s">
        <v>1559</v>
      </c>
      <c r="C530" s="4" t="s">
        <v>1560</v>
      </c>
      <c r="D530" s="6" t="n">
        <v>6</v>
      </c>
    </row>
    <row r="531" customFormat="false" ht="82.05" hidden="false" customHeight="false" outlineLevel="0" collapsed="false">
      <c r="A531" s="4" t="s">
        <v>1561</v>
      </c>
      <c r="B531" s="4" t="s">
        <v>1561</v>
      </c>
      <c r="C531" s="4" t="s">
        <v>1562</v>
      </c>
      <c r="D531" s="6" t="n">
        <v>8</v>
      </c>
    </row>
    <row r="532" customFormat="false" ht="82.05" hidden="false" customHeight="false" outlineLevel="0" collapsed="false">
      <c r="A532" s="4" t="s">
        <v>1563</v>
      </c>
      <c r="B532" s="4" t="s">
        <v>1563</v>
      </c>
      <c r="C532" s="4" t="s">
        <v>1564</v>
      </c>
      <c r="D532" s="6" t="n">
        <v>8</v>
      </c>
    </row>
    <row r="533" customFormat="false" ht="82.05" hidden="false" customHeight="false" outlineLevel="0" collapsed="false">
      <c r="A533" s="4" t="s">
        <v>1565</v>
      </c>
      <c r="B533" s="4" t="s">
        <v>1565</v>
      </c>
      <c r="C533" s="4" t="s">
        <v>1566</v>
      </c>
      <c r="D533" s="6" t="n">
        <v>10</v>
      </c>
    </row>
    <row r="534" customFormat="false" ht="82.05" hidden="false" customHeight="false" outlineLevel="0" collapsed="false">
      <c r="A534" s="4" t="s">
        <v>1567</v>
      </c>
      <c r="B534" s="4" t="s">
        <v>1567</v>
      </c>
      <c r="C534" s="4" t="s">
        <v>1568</v>
      </c>
      <c r="D534" s="6" t="n">
        <v>10</v>
      </c>
    </row>
    <row r="535" customFormat="false" ht="82.05" hidden="false" customHeight="false" outlineLevel="0" collapsed="false">
      <c r="A535" s="4" t="s">
        <v>1569</v>
      </c>
      <c r="B535" s="4" t="s">
        <v>1569</v>
      </c>
      <c r="C535" s="4" t="s">
        <v>1570</v>
      </c>
      <c r="D535" s="6" t="n">
        <v>67</v>
      </c>
    </row>
    <row r="536" customFormat="false" ht="68.65" hidden="false" customHeight="false" outlineLevel="0" collapsed="false">
      <c r="A536" s="4" t="s">
        <v>1571</v>
      </c>
      <c r="B536" s="4" t="s">
        <v>1571</v>
      </c>
      <c r="C536" s="4" t="s">
        <v>1572</v>
      </c>
      <c r="D536" s="6" t="n">
        <v>0</v>
      </c>
    </row>
    <row r="537" customFormat="false" ht="68.65" hidden="false" customHeight="false" outlineLevel="0" collapsed="false">
      <c r="A537" s="4" t="s">
        <v>1573</v>
      </c>
      <c r="B537" s="4" t="s">
        <v>1573</v>
      </c>
      <c r="C537" s="4" t="s">
        <v>1574</v>
      </c>
      <c r="D537" s="6" t="n">
        <v>0</v>
      </c>
    </row>
    <row r="538" customFormat="false" ht="68.65" hidden="false" customHeight="false" outlineLevel="0" collapsed="false">
      <c r="A538" s="4" t="s">
        <v>1575</v>
      </c>
      <c r="B538" s="4" t="s">
        <v>1575</v>
      </c>
      <c r="C538" s="4" t="s">
        <v>1576</v>
      </c>
      <c r="D538" s="6" t="n">
        <v>0</v>
      </c>
    </row>
    <row r="539" customFormat="false" ht="68.65" hidden="false" customHeight="false" outlineLevel="0" collapsed="false">
      <c r="A539" s="4" t="s">
        <v>1577</v>
      </c>
      <c r="B539" s="4" t="s">
        <v>1577</v>
      </c>
      <c r="C539" s="4" t="s">
        <v>1578</v>
      </c>
      <c r="D539" s="6" t="n">
        <v>0</v>
      </c>
    </row>
    <row r="540" customFormat="false" ht="68.65" hidden="false" customHeight="false" outlineLevel="0" collapsed="false">
      <c r="A540" s="4" t="s">
        <v>1579</v>
      </c>
      <c r="B540" s="4" t="s">
        <v>1579</v>
      </c>
      <c r="C540" s="4" t="s">
        <v>1580</v>
      </c>
      <c r="D540" s="6" t="n">
        <v>0</v>
      </c>
    </row>
    <row r="541" customFormat="false" ht="68.65" hidden="false" customHeight="false" outlineLevel="0" collapsed="false">
      <c r="A541" s="4" t="s">
        <v>1581</v>
      </c>
      <c r="B541" s="4" t="s">
        <v>1581</v>
      </c>
      <c r="C541" s="4" t="s">
        <v>1582</v>
      </c>
      <c r="D541" s="6" t="n">
        <v>0</v>
      </c>
    </row>
    <row r="542" customFormat="false" ht="68.65" hidden="false" customHeight="false" outlineLevel="0" collapsed="false">
      <c r="A542" s="4" t="s">
        <v>1583</v>
      </c>
      <c r="B542" s="4" t="s">
        <v>1583</v>
      </c>
      <c r="C542" s="4" t="s">
        <v>1584</v>
      </c>
      <c r="D542" s="6" t="n">
        <v>0</v>
      </c>
    </row>
    <row r="543" customFormat="false" ht="68.65" hidden="false" customHeight="false" outlineLevel="0" collapsed="false">
      <c r="A543" s="4" t="s">
        <v>1585</v>
      </c>
      <c r="B543" s="4" t="s">
        <v>1585</v>
      </c>
      <c r="C543" s="4" t="s">
        <v>1586</v>
      </c>
      <c r="D543" s="6" t="n">
        <v>0</v>
      </c>
    </row>
    <row r="544" customFormat="false" ht="68.65" hidden="false" customHeight="false" outlineLevel="0" collapsed="false">
      <c r="A544" s="4" t="s">
        <v>1587</v>
      </c>
      <c r="B544" s="4" t="s">
        <v>1587</v>
      </c>
      <c r="C544" s="4" t="s">
        <v>1588</v>
      </c>
      <c r="D544" s="6" t="n">
        <v>0</v>
      </c>
    </row>
    <row r="545" customFormat="false" ht="68.65" hidden="false" customHeight="false" outlineLevel="0" collapsed="false">
      <c r="A545" s="4" t="s">
        <v>1589</v>
      </c>
      <c r="B545" s="4" t="s">
        <v>1589</v>
      </c>
      <c r="C545" s="4" t="s">
        <v>1590</v>
      </c>
      <c r="D545" s="6" t="n">
        <v>0</v>
      </c>
    </row>
    <row r="546" customFormat="false" ht="68.65" hidden="false" customHeight="false" outlineLevel="0" collapsed="false">
      <c r="A546" s="4" t="s">
        <v>1591</v>
      </c>
      <c r="B546" s="4" t="s">
        <v>1591</v>
      </c>
      <c r="C546" s="4" t="s">
        <v>1592</v>
      </c>
      <c r="D546" s="6" t="n">
        <v>0</v>
      </c>
    </row>
    <row r="547" customFormat="false" ht="68.65" hidden="false" customHeight="false" outlineLevel="0" collapsed="false">
      <c r="A547" s="4" t="s">
        <v>1593</v>
      </c>
      <c r="B547" s="4" t="s">
        <v>1593</v>
      </c>
      <c r="C547" s="4" t="s">
        <v>1594</v>
      </c>
      <c r="D547" s="6" t="n">
        <v>0</v>
      </c>
    </row>
    <row r="548" customFormat="false" ht="68.65" hidden="false" customHeight="false" outlineLevel="0" collapsed="false">
      <c r="A548" s="4" t="s">
        <v>1595</v>
      </c>
      <c r="B548" s="4" t="s">
        <v>1595</v>
      </c>
      <c r="C548" s="4" t="s">
        <v>1596</v>
      </c>
      <c r="D548" s="6" t="n">
        <v>0</v>
      </c>
    </row>
    <row r="549" customFormat="false" ht="68.65" hidden="false" customHeight="false" outlineLevel="0" collapsed="false">
      <c r="A549" s="4" t="s">
        <v>1597</v>
      </c>
      <c r="B549" s="4" t="s">
        <v>1597</v>
      </c>
      <c r="C549" s="4" t="s">
        <v>1598</v>
      </c>
      <c r="D549" s="6" t="n">
        <v>0</v>
      </c>
    </row>
    <row r="550" customFormat="false" ht="68.65" hidden="false" customHeight="false" outlineLevel="0" collapsed="false">
      <c r="A550" s="4" t="s">
        <v>1599</v>
      </c>
      <c r="B550" s="4" t="s">
        <v>1599</v>
      </c>
      <c r="C550" s="4" t="s">
        <v>1600</v>
      </c>
      <c r="D550" s="6" t="n">
        <v>0</v>
      </c>
    </row>
    <row r="551" customFormat="false" ht="68.65" hidden="false" customHeight="false" outlineLevel="0" collapsed="false">
      <c r="A551" s="4" t="s">
        <v>1601</v>
      </c>
      <c r="B551" s="4" t="s">
        <v>1601</v>
      </c>
      <c r="C551" s="4" t="s">
        <v>1602</v>
      </c>
      <c r="D551" s="6" t="n">
        <v>0</v>
      </c>
    </row>
    <row r="552" customFormat="false" ht="68.65" hidden="false" customHeight="false" outlineLevel="0" collapsed="false">
      <c r="A552" s="4" t="s">
        <v>1603</v>
      </c>
      <c r="B552" s="4" t="s">
        <v>1603</v>
      </c>
      <c r="C552" s="4" t="s">
        <v>1604</v>
      </c>
      <c r="D552" s="6" t="n">
        <v>0</v>
      </c>
    </row>
    <row r="553" customFormat="false" ht="15" hidden="false" customHeight="false" outlineLevel="0" collapsed="false">
      <c r="A553" s="4" t="s">
        <v>1605</v>
      </c>
      <c r="B553" s="4" t="s">
        <v>1605</v>
      </c>
      <c r="C553" s="4" t="s">
        <v>1606</v>
      </c>
      <c r="D553" s="6" t="n">
        <v>0</v>
      </c>
    </row>
    <row r="554" customFormat="false" ht="15" hidden="false" customHeight="false" outlineLevel="0" collapsed="false">
      <c r="A554" s="4" t="s">
        <v>1607</v>
      </c>
      <c r="B554" s="4" t="s">
        <v>1607</v>
      </c>
      <c r="C554" s="4" t="s">
        <v>1608</v>
      </c>
      <c r="D554" s="6" t="n">
        <v>9</v>
      </c>
    </row>
    <row r="555" customFormat="false" ht="15" hidden="false" customHeight="false" outlineLevel="0" collapsed="false">
      <c r="A555" s="4" t="s">
        <v>1609</v>
      </c>
      <c r="B555" s="4" t="s">
        <v>1609</v>
      </c>
      <c r="C555" s="4" t="s">
        <v>1610</v>
      </c>
      <c r="D555" s="6" t="n">
        <v>9</v>
      </c>
    </row>
    <row r="556" customFormat="false" ht="15" hidden="false" customHeight="false" outlineLevel="0" collapsed="false">
      <c r="A556" s="4" t="s">
        <v>1611</v>
      </c>
      <c r="B556" s="4" t="s">
        <v>1611</v>
      </c>
      <c r="C556" s="4" t="s">
        <v>1612</v>
      </c>
      <c r="D556" s="6" t="n">
        <v>0</v>
      </c>
    </row>
    <row r="557" customFormat="false" ht="15" hidden="false" customHeight="false" outlineLevel="0" collapsed="false">
      <c r="A557" s="4" t="s">
        <v>1613</v>
      </c>
      <c r="B557" s="4" t="s">
        <v>1613</v>
      </c>
      <c r="C557" s="4" t="s">
        <v>1614</v>
      </c>
      <c r="D557" s="6" t="n">
        <v>20</v>
      </c>
    </row>
    <row r="558" customFormat="false" ht="15" hidden="false" customHeight="false" outlineLevel="0" collapsed="false">
      <c r="A558" s="4" t="s">
        <v>1615</v>
      </c>
      <c r="B558" s="4" t="s">
        <v>1615</v>
      </c>
      <c r="C558" s="4" t="s">
        <v>1616</v>
      </c>
      <c r="D558" s="6" t="n">
        <v>8</v>
      </c>
    </row>
    <row r="559" customFormat="false" ht="15" hidden="false" customHeight="false" outlineLevel="0" collapsed="false">
      <c r="A559" s="4" t="s">
        <v>1617</v>
      </c>
      <c r="B559" s="4" t="s">
        <v>1617</v>
      </c>
      <c r="C559" s="4" t="s">
        <v>1618</v>
      </c>
      <c r="D559" s="6" t="n">
        <v>0</v>
      </c>
    </row>
    <row r="560" customFormat="false" ht="15" hidden="false" customHeight="false" outlineLevel="0" collapsed="false">
      <c r="A560" s="4" t="s">
        <v>1619</v>
      </c>
      <c r="B560" s="4" t="s">
        <v>1619</v>
      </c>
      <c r="C560" s="4" t="s">
        <v>1620</v>
      </c>
      <c r="D560" s="6" t="n">
        <v>22</v>
      </c>
    </row>
    <row r="561" customFormat="false" ht="15" hidden="false" customHeight="false" outlineLevel="0" collapsed="false">
      <c r="A561" s="4" t="s">
        <v>1621</v>
      </c>
      <c r="B561" s="4" t="s">
        <v>1621</v>
      </c>
      <c r="C561" s="4" t="s">
        <v>1622</v>
      </c>
      <c r="D561" s="6" t="n">
        <v>14</v>
      </c>
    </row>
    <row r="562" customFormat="false" ht="15" hidden="false" customHeight="false" outlineLevel="0" collapsed="false">
      <c r="A562" s="4" t="s">
        <v>1623</v>
      </c>
      <c r="B562" s="4" t="s">
        <v>1623</v>
      </c>
      <c r="C562" s="4" t="s">
        <v>1624</v>
      </c>
      <c r="D562" s="6" t="n">
        <v>20</v>
      </c>
    </row>
    <row r="563" customFormat="false" ht="15" hidden="false" customHeight="false" outlineLevel="0" collapsed="false">
      <c r="A563" s="4" t="s">
        <v>1625</v>
      </c>
      <c r="B563" s="4" t="s">
        <v>1625</v>
      </c>
      <c r="C563" s="4" t="s">
        <v>1626</v>
      </c>
      <c r="D563" s="6" t="n">
        <v>18</v>
      </c>
    </row>
    <row r="564" customFormat="false" ht="15" hidden="false" customHeight="false" outlineLevel="0" collapsed="false">
      <c r="A564" s="4" t="s">
        <v>1627</v>
      </c>
      <c r="B564" s="4" t="s">
        <v>1627</v>
      </c>
      <c r="C564" s="4" t="s">
        <v>1628</v>
      </c>
      <c r="D564" s="6" t="n">
        <v>22</v>
      </c>
    </row>
    <row r="565" customFormat="false" ht="15" hidden="false" customHeight="false" outlineLevel="0" collapsed="false">
      <c r="A565" s="4" t="s">
        <v>1629</v>
      </c>
      <c r="B565" s="4" t="s">
        <v>1629</v>
      </c>
      <c r="C565" s="4" t="s">
        <v>1630</v>
      </c>
      <c r="D565" s="6" t="n">
        <v>28</v>
      </c>
    </row>
    <row r="566" customFormat="false" ht="15" hidden="false" customHeight="false" outlineLevel="0" collapsed="false">
      <c r="A566" s="4" t="s">
        <v>1631</v>
      </c>
      <c r="B566" s="4" t="s">
        <v>1631</v>
      </c>
      <c r="C566" s="4" t="s">
        <v>1632</v>
      </c>
      <c r="D566" s="6" t="n">
        <v>28</v>
      </c>
    </row>
    <row r="567" customFormat="false" ht="15" hidden="false" customHeight="false" outlineLevel="0" collapsed="false">
      <c r="A567" s="4" t="s">
        <v>1633</v>
      </c>
      <c r="B567" s="4" t="s">
        <v>1633</v>
      </c>
      <c r="C567" s="4" t="s">
        <v>1634</v>
      </c>
      <c r="D567" s="6" t="n">
        <v>34</v>
      </c>
    </row>
    <row r="568" customFormat="false" ht="15" hidden="false" customHeight="false" outlineLevel="0" collapsed="false">
      <c r="A568" s="4" t="s">
        <v>1635</v>
      </c>
      <c r="B568" s="4" t="s">
        <v>1635</v>
      </c>
      <c r="C568" s="4" t="s">
        <v>1636</v>
      </c>
      <c r="D568" s="6" t="n">
        <v>36</v>
      </c>
    </row>
    <row r="569" customFormat="false" ht="15" hidden="false" customHeight="false" outlineLevel="0" collapsed="false">
      <c r="A569" s="4" t="s">
        <v>1637</v>
      </c>
      <c r="B569" s="4" t="s">
        <v>1637</v>
      </c>
      <c r="C569" s="4" t="s">
        <v>1638</v>
      </c>
      <c r="D569" s="6" t="n">
        <v>250</v>
      </c>
    </row>
    <row r="570" customFormat="false" ht="15" hidden="false" customHeight="false" outlineLevel="0" collapsed="false">
      <c r="A570" s="4" t="s">
        <v>1639</v>
      </c>
      <c r="B570" s="4" t="s">
        <v>1639</v>
      </c>
      <c r="C570" s="4" t="s">
        <v>1640</v>
      </c>
      <c r="D570" s="6" t="n">
        <v>0</v>
      </c>
    </row>
    <row r="571" customFormat="false" ht="15" hidden="false" customHeight="false" outlineLevel="0" collapsed="false">
      <c r="A571" s="4" t="s">
        <v>1641</v>
      </c>
      <c r="B571" s="4" t="s">
        <v>1641</v>
      </c>
      <c r="C571" s="4" t="s">
        <v>1642</v>
      </c>
      <c r="D571" s="6" t="n">
        <v>35</v>
      </c>
    </row>
    <row r="572" customFormat="false" ht="15" hidden="false" customHeight="false" outlineLevel="0" collapsed="false">
      <c r="A572" s="4" t="s">
        <v>1643</v>
      </c>
      <c r="B572" s="4" t="s">
        <v>1643</v>
      </c>
      <c r="C572" s="4" t="s">
        <v>1644</v>
      </c>
      <c r="D572" s="6" t="n">
        <v>32</v>
      </c>
    </row>
    <row r="573" customFormat="false" ht="15" hidden="false" customHeight="false" outlineLevel="0" collapsed="false">
      <c r="A573" s="4" t="s">
        <v>1645</v>
      </c>
      <c r="B573" s="4" t="s">
        <v>1645</v>
      </c>
      <c r="C573" s="4" t="s">
        <v>1646</v>
      </c>
      <c r="D573" s="6" t="n">
        <v>0</v>
      </c>
    </row>
    <row r="574" customFormat="false" ht="15" hidden="false" customHeight="false" outlineLevel="0" collapsed="false">
      <c r="A574" s="4" t="s">
        <v>1647</v>
      </c>
      <c r="B574" s="4" t="s">
        <v>1647</v>
      </c>
      <c r="C574" s="4" t="s">
        <v>1648</v>
      </c>
      <c r="D574" s="6" t="n">
        <v>60</v>
      </c>
    </row>
    <row r="575" customFormat="false" ht="15" hidden="false" customHeight="false" outlineLevel="0" collapsed="false">
      <c r="A575" s="4" t="s">
        <v>1649</v>
      </c>
      <c r="B575" s="4" t="s">
        <v>1649</v>
      </c>
      <c r="C575" s="4" t="s">
        <v>1650</v>
      </c>
      <c r="D575" s="6" t="n">
        <v>24</v>
      </c>
    </row>
    <row r="576" customFormat="false" ht="15" hidden="false" customHeight="false" outlineLevel="0" collapsed="false">
      <c r="A576" s="4" t="s">
        <v>1651</v>
      </c>
      <c r="B576" s="4" t="s">
        <v>1651</v>
      </c>
      <c r="C576" s="4" t="s">
        <v>1652</v>
      </c>
      <c r="D576" s="6" t="n">
        <v>0</v>
      </c>
    </row>
    <row r="577" customFormat="false" ht="15" hidden="false" customHeight="false" outlineLevel="0" collapsed="false">
      <c r="A577" s="4" t="s">
        <v>1653</v>
      </c>
      <c r="B577" s="4" t="s">
        <v>1653</v>
      </c>
      <c r="C577" s="4" t="s">
        <v>1654</v>
      </c>
      <c r="D577" s="6" t="n">
        <v>86</v>
      </c>
    </row>
    <row r="578" customFormat="false" ht="15" hidden="false" customHeight="false" outlineLevel="0" collapsed="false">
      <c r="A578" s="4" t="s">
        <v>1655</v>
      </c>
      <c r="B578" s="4" t="s">
        <v>1655</v>
      </c>
      <c r="C578" s="4" t="s">
        <v>1656</v>
      </c>
      <c r="D578" s="6" t="n">
        <v>61</v>
      </c>
    </row>
    <row r="579" customFormat="false" ht="15" hidden="false" customHeight="false" outlineLevel="0" collapsed="false">
      <c r="A579" s="4" t="s">
        <v>1657</v>
      </c>
      <c r="B579" s="4" t="s">
        <v>1657</v>
      </c>
      <c r="C579" s="4" t="s">
        <v>1658</v>
      </c>
      <c r="D579" s="6" t="n">
        <v>98</v>
      </c>
    </row>
    <row r="580" customFormat="false" ht="15" hidden="false" customHeight="false" outlineLevel="0" collapsed="false">
      <c r="A580" s="4" t="s">
        <v>1659</v>
      </c>
      <c r="B580" s="4" t="s">
        <v>1659</v>
      </c>
      <c r="C580" s="4" t="s">
        <v>1660</v>
      </c>
      <c r="D580" s="6" t="n">
        <v>73</v>
      </c>
    </row>
    <row r="581" customFormat="false" ht="15" hidden="false" customHeight="false" outlineLevel="0" collapsed="false">
      <c r="A581" s="4" t="s">
        <v>1661</v>
      </c>
      <c r="B581" s="4" t="s">
        <v>1661</v>
      </c>
      <c r="C581" s="4" t="s">
        <v>1662</v>
      </c>
      <c r="D581" s="6" t="n">
        <v>85</v>
      </c>
    </row>
    <row r="582" customFormat="false" ht="15" hidden="false" customHeight="false" outlineLevel="0" collapsed="false">
      <c r="A582" s="4" t="s">
        <v>1663</v>
      </c>
      <c r="B582" s="4" t="s">
        <v>1663</v>
      </c>
      <c r="C582" s="4" t="s">
        <v>1664</v>
      </c>
      <c r="D582" s="6" t="n">
        <v>122</v>
      </c>
    </row>
    <row r="583" customFormat="false" ht="15" hidden="false" customHeight="false" outlineLevel="0" collapsed="false">
      <c r="A583" s="4" t="s">
        <v>1665</v>
      </c>
      <c r="B583" s="4" t="s">
        <v>1665</v>
      </c>
      <c r="C583" s="4" t="s">
        <v>1666</v>
      </c>
      <c r="D583" s="6" t="n">
        <v>122</v>
      </c>
    </row>
    <row r="584" customFormat="false" ht="15" hidden="false" customHeight="false" outlineLevel="0" collapsed="false">
      <c r="A584" s="4" t="s">
        <v>1667</v>
      </c>
      <c r="B584" s="4" t="s">
        <v>1667</v>
      </c>
      <c r="C584" s="4" t="s">
        <v>1668</v>
      </c>
      <c r="D584" s="6" t="n">
        <v>159</v>
      </c>
    </row>
    <row r="585" customFormat="false" ht="15" hidden="false" customHeight="false" outlineLevel="0" collapsed="false">
      <c r="A585" s="4" t="s">
        <v>1669</v>
      </c>
      <c r="B585" s="4" t="s">
        <v>1669</v>
      </c>
      <c r="C585" s="4" t="s">
        <v>1670</v>
      </c>
      <c r="D585" s="6" t="n">
        <v>146</v>
      </c>
    </row>
    <row r="586" customFormat="false" ht="15" hidden="false" customHeight="false" outlineLevel="0" collapsed="false">
      <c r="A586" s="4" t="s">
        <v>1671</v>
      </c>
      <c r="B586" s="4" t="s">
        <v>1671</v>
      </c>
      <c r="C586" s="4" t="s">
        <v>1672</v>
      </c>
      <c r="D586" s="6" t="n">
        <v>1036</v>
      </c>
    </row>
    <row r="587" customFormat="false" ht="15" hidden="false" customHeight="false" outlineLevel="0" collapsed="false">
      <c r="A587" s="4" t="s">
        <v>1673</v>
      </c>
      <c r="B587" s="4" t="s">
        <v>1673</v>
      </c>
      <c r="C587" s="4" t="s">
        <v>1674</v>
      </c>
      <c r="D587" s="6" t="n">
        <v>0</v>
      </c>
    </row>
    <row r="588" customFormat="false" ht="15" hidden="false" customHeight="false" outlineLevel="0" collapsed="false">
      <c r="A588" s="4" t="s">
        <v>1675</v>
      </c>
      <c r="B588" s="4" t="s">
        <v>1675</v>
      </c>
      <c r="C588" s="4" t="s">
        <v>1676</v>
      </c>
      <c r="D588" s="6" t="n">
        <v>0</v>
      </c>
    </row>
    <row r="589" customFormat="false" ht="15" hidden="false" customHeight="false" outlineLevel="0" collapsed="false">
      <c r="A589" s="4" t="s">
        <v>1677</v>
      </c>
      <c r="B589" s="4" t="s">
        <v>1677</v>
      </c>
      <c r="C589" s="4" t="s">
        <v>1678</v>
      </c>
      <c r="D589" s="6" t="n">
        <v>0</v>
      </c>
    </row>
    <row r="590" customFormat="false" ht="15" hidden="false" customHeight="false" outlineLevel="0" collapsed="false">
      <c r="A590" s="4" t="s">
        <v>1679</v>
      </c>
      <c r="B590" s="4" t="s">
        <v>1679</v>
      </c>
      <c r="C590" s="4" t="s">
        <v>1680</v>
      </c>
      <c r="D590" s="6" t="n">
        <v>0</v>
      </c>
    </row>
    <row r="591" customFormat="false" ht="15" hidden="false" customHeight="false" outlineLevel="0" collapsed="false">
      <c r="A591" s="4" t="s">
        <v>1681</v>
      </c>
      <c r="B591" s="4" t="s">
        <v>1681</v>
      </c>
      <c r="C591" s="4" t="s">
        <v>1682</v>
      </c>
      <c r="D591" s="6" t="n">
        <v>0</v>
      </c>
    </row>
    <row r="592" customFormat="false" ht="15" hidden="false" customHeight="false" outlineLevel="0" collapsed="false">
      <c r="A592" s="4" t="s">
        <v>1683</v>
      </c>
      <c r="B592" s="4" t="s">
        <v>1683</v>
      </c>
      <c r="C592" s="4" t="s">
        <v>1684</v>
      </c>
      <c r="D592" s="6" t="n">
        <v>0</v>
      </c>
    </row>
    <row r="593" customFormat="false" ht="15" hidden="false" customHeight="false" outlineLevel="0" collapsed="false">
      <c r="A593" s="4" t="s">
        <v>1685</v>
      </c>
      <c r="B593" s="4" t="s">
        <v>1685</v>
      </c>
      <c r="C593" s="4" t="s">
        <v>1686</v>
      </c>
      <c r="D593" s="6" t="n">
        <v>0</v>
      </c>
    </row>
    <row r="594" customFormat="false" ht="15" hidden="false" customHeight="false" outlineLevel="0" collapsed="false">
      <c r="A594" s="4" t="s">
        <v>1687</v>
      </c>
      <c r="B594" s="4" t="s">
        <v>1687</v>
      </c>
      <c r="C594" s="4" t="s">
        <v>1688</v>
      </c>
      <c r="D594" s="6" t="n">
        <v>0</v>
      </c>
    </row>
    <row r="595" customFormat="false" ht="15" hidden="false" customHeight="false" outlineLevel="0" collapsed="false">
      <c r="A595" s="4" t="s">
        <v>1689</v>
      </c>
      <c r="B595" s="4" t="s">
        <v>1689</v>
      </c>
      <c r="C595" s="4" t="s">
        <v>1690</v>
      </c>
      <c r="D595" s="6" t="n">
        <v>0</v>
      </c>
    </row>
    <row r="596" customFormat="false" ht="15" hidden="false" customHeight="false" outlineLevel="0" collapsed="false">
      <c r="A596" s="4" t="s">
        <v>1691</v>
      </c>
      <c r="B596" s="4" t="s">
        <v>1691</v>
      </c>
      <c r="C596" s="4" t="s">
        <v>1692</v>
      </c>
      <c r="D596" s="6" t="n">
        <v>0</v>
      </c>
    </row>
    <row r="597" customFormat="false" ht="15" hidden="false" customHeight="false" outlineLevel="0" collapsed="false">
      <c r="A597" s="4" t="s">
        <v>1693</v>
      </c>
      <c r="B597" s="4" t="s">
        <v>1693</v>
      </c>
      <c r="C597" s="4" t="s">
        <v>1694</v>
      </c>
      <c r="D597" s="6" t="n">
        <v>0</v>
      </c>
    </row>
    <row r="598" customFormat="false" ht="15" hidden="false" customHeight="false" outlineLevel="0" collapsed="false">
      <c r="A598" s="4" t="s">
        <v>1695</v>
      </c>
      <c r="B598" s="4" t="s">
        <v>1695</v>
      </c>
      <c r="C598" s="4" t="s">
        <v>1696</v>
      </c>
      <c r="D598" s="6" t="n">
        <v>0</v>
      </c>
    </row>
    <row r="599" customFormat="false" ht="15" hidden="false" customHeight="false" outlineLevel="0" collapsed="false">
      <c r="A599" s="4" t="s">
        <v>1697</v>
      </c>
      <c r="B599" s="4" t="s">
        <v>1697</v>
      </c>
      <c r="C599" s="4" t="s">
        <v>1698</v>
      </c>
      <c r="D599" s="6" t="n">
        <v>0</v>
      </c>
    </row>
    <row r="600" customFormat="false" ht="15" hidden="false" customHeight="false" outlineLevel="0" collapsed="false">
      <c r="A600" s="4" t="s">
        <v>1699</v>
      </c>
      <c r="B600" s="4" t="s">
        <v>1699</v>
      </c>
      <c r="C600" s="4" t="s">
        <v>1700</v>
      </c>
      <c r="D600" s="6" t="n">
        <v>0</v>
      </c>
    </row>
    <row r="601" customFormat="false" ht="15" hidden="false" customHeight="false" outlineLevel="0" collapsed="false">
      <c r="A601" s="4" t="s">
        <v>1701</v>
      </c>
      <c r="B601" s="4" t="s">
        <v>1701</v>
      </c>
      <c r="C601" s="4" t="s">
        <v>1702</v>
      </c>
      <c r="D601" s="6" t="n">
        <v>0</v>
      </c>
    </row>
    <row r="602" customFormat="false" ht="15" hidden="false" customHeight="false" outlineLevel="0" collapsed="false">
      <c r="A602" s="4" t="s">
        <v>1703</v>
      </c>
      <c r="B602" s="4" t="s">
        <v>1703</v>
      </c>
      <c r="C602" s="4" t="s">
        <v>1704</v>
      </c>
      <c r="D602" s="6" t="n">
        <v>0</v>
      </c>
    </row>
    <row r="603" customFormat="false" ht="15" hidden="false" customHeight="false" outlineLevel="0" collapsed="false">
      <c r="A603" s="4" t="s">
        <v>1705</v>
      </c>
      <c r="B603" s="4" t="s">
        <v>1705</v>
      </c>
      <c r="C603" s="4" t="s">
        <v>1706</v>
      </c>
      <c r="D603" s="6" t="n">
        <v>0</v>
      </c>
    </row>
    <row r="604" customFormat="false" ht="15" hidden="false" customHeight="false" outlineLevel="0" collapsed="false">
      <c r="A604" s="4" t="s">
        <v>1707</v>
      </c>
      <c r="B604" s="4" t="s">
        <v>1707</v>
      </c>
      <c r="C604" s="4" t="s">
        <v>1708</v>
      </c>
      <c r="D604" s="6" t="n">
        <v>9</v>
      </c>
    </row>
    <row r="605" customFormat="false" ht="15" hidden="false" customHeight="false" outlineLevel="0" collapsed="false">
      <c r="A605" s="4" t="s">
        <v>1709</v>
      </c>
      <c r="B605" s="4" t="s">
        <v>1709</v>
      </c>
      <c r="C605" s="4" t="s">
        <v>1710</v>
      </c>
      <c r="D605" s="6" t="n">
        <v>0</v>
      </c>
    </row>
    <row r="606" customFormat="false" ht="15" hidden="false" customHeight="false" outlineLevel="0" collapsed="false">
      <c r="A606" s="4" t="s">
        <v>1711</v>
      </c>
      <c r="B606" s="4" t="s">
        <v>1711</v>
      </c>
      <c r="C606" s="4" t="s">
        <v>1712</v>
      </c>
      <c r="D606" s="6" t="n">
        <v>20</v>
      </c>
    </row>
    <row r="607" customFormat="false" ht="15" hidden="false" customHeight="false" outlineLevel="0" collapsed="false">
      <c r="A607" s="4" t="s">
        <v>1713</v>
      </c>
      <c r="B607" s="4" t="s">
        <v>1713</v>
      </c>
      <c r="C607" s="4" t="s">
        <v>1714</v>
      </c>
      <c r="D607" s="6" t="n">
        <v>8</v>
      </c>
    </row>
    <row r="608" customFormat="false" ht="15" hidden="false" customHeight="false" outlineLevel="0" collapsed="false">
      <c r="A608" s="4" t="s">
        <v>1715</v>
      </c>
      <c r="B608" s="4" t="s">
        <v>1715</v>
      </c>
      <c r="C608" s="4" t="s">
        <v>1716</v>
      </c>
      <c r="D608" s="6" t="n">
        <v>0</v>
      </c>
    </row>
    <row r="609" customFormat="false" ht="15" hidden="false" customHeight="false" outlineLevel="0" collapsed="false">
      <c r="A609" s="4" t="s">
        <v>1717</v>
      </c>
      <c r="B609" s="4" t="s">
        <v>1717</v>
      </c>
      <c r="C609" s="4" t="s">
        <v>1718</v>
      </c>
      <c r="D609" s="6" t="n">
        <v>22</v>
      </c>
    </row>
    <row r="610" customFormat="false" ht="15" hidden="false" customHeight="false" outlineLevel="0" collapsed="false">
      <c r="A610" s="4" t="s">
        <v>1719</v>
      </c>
      <c r="B610" s="4" t="s">
        <v>1719</v>
      </c>
      <c r="C610" s="4" t="s">
        <v>1720</v>
      </c>
      <c r="D610" s="6" t="n">
        <v>14</v>
      </c>
    </row>
    <row r="611" customFormat="false" ht="15" hidden="false" customHeight="false" outlineLevel="0" collapsed="false">
      <c r="A611" s="4" t="s">
        <v>1721</v>
      </c>
      <c r="B611" s="4" t="s">
        <v>1721</v>
      </c>
      <c r="C611" s="4" t="s">
        <v>1722</v>
      </c>
      <c r="D611" s="6" t="n">
        <v>20</v>
      </c>
    </row>
    <row r="612" customFormat="false" ht="15" hidden="false" customHeight="false" outlineLevel="0" collapsed="false">
      <c r="A612" s="4" t="s">
        <v>1723</v>
      </c>
      <c r="B612" s="4" t="s">
        <v>1723</v>
      </c>
      <c r="C612" s="4" t="s">
        <v>1724</v>
      </c>
      <c r="D612" s="6" t="n">
        <v>18</v>
      </c>
    </row>
    <row r="613" customFormat="false" ht="15" hidden="false" customHeight="false" outlineLevel="0" collapsed="false">
      <c r="A613" s="4" t="s">
        <v>1725</v>
      </c>
      <c r="B613" s="4" t="s">
        <v>1725</v>
      </c>
      <c r="C613" s="4" t="s">
        <v>1726</v>
      </c>
      <c r="D613" s="6" t="n">
        <v>22</v>
      </c>
    </row>
    <row r="614" customFormat="false" ht="15" hidden="false" customHeight="false" outlineLevel="0" collapsed="false">
      <c r="A614" s="4" t="s">
        <v>1727</v>
      </c>
      <c r="B614" s="4" t="s">
        <v>1727</v>
      </c>
      <c r="C614" s="4" t="s">
        <v>1728</v>
      </c>
      <c r="D614" s="6" t="n">
        <v>28</v>
      </c>
    </row>
    <row r="615" customFormat="false" ht="15" hidden="false" customHeight="false" outlineLevel="0" collapsed="false">
      <c r="A615" s="4" t="s">
        <v>1729</v>
      </c>
      <c r="B615" s="4" t="s">
        <v>1729</v>
      </c>
      <c r="C615" s="4" t="s">
        <v>1730</v>
      </c>
      <c r="D615" s="6" t="n">
        <v>28</v>
      </c>
    </row>
    <row r="616" customFormat="false" ht="15" hidden="false" customHeight="false" outlineLevel="0" collapsed="false">
      <c r="A616" s="4" t="s">
        <v>1731</v>
      </c>
      <c r="B616" s="4" t="s">
        <v>1731</v>
      </c>
      <c r="C616" s="4" t="s">
        <v>1732</v>
      </c>
      <c r="D616" s="6" t="n">
        <v>34</v>
      </c>
    </row>
    <row r="617" customFormat="false" ht="15" hidden="false" customHeight="false" outlineLevel="0" collapsed="false">
      <c r="A617" s="4" t="s">
        <v>1733</v>
      </c>
      <c r="B617" s="4" t="s">
        <v>1733</v>
      </c>
      <c r="C617" s="4" t="s">
        <v>1734</v>
      </c>
      <c r="D617" s="6" t="n">
        <v>36</v>
      </c>
    </row>
    <row r="618" customFormat="false" ht="15" hidden="false" customHeight="false" outlineLevel="0" collapsed="false">
      <c r="A618" s="4" t="s">
        <v>1735</v>
      </c>
      <c r="B618" s="4" t="s">
        <v>1735</v>
      </c>
      <c r="C618" s="4" t="s">
        <v>1736</v>
      </c>
      <c r="D618" s="6" t="n">
        <v>42</v>
      </c>
    </row>
    <row r="619" customFormat="false" ht="15" hidden="false" customHeight="false" outlineLevel="0" collapsed="false">
      <c r="A619" s="4" t="s">
        <v>1737</v>
      </c>
      <c r="B619" s="4" t="s">
        <v>1737</v>
      </c>
      <c r="C619" s="4" t="s">
        <v>1738</v>
      </c>
      <c r="D619" s="6" t="n">
        <v>48</v>
      </c>
    </row>
    <row r="620" customFormat="false" ht="15" hidden="false" customHeight="false" outlineLevel="0" collapsed="false">
      <c r="A620" s="4" t="s">
        <v>1739</v>
      </c>
      <c r="B620" s="4" t="s">
        <v>1739</v>
      </c>
      <c r="C620" s="4" t="s">
        <v>1740</v>
      </c>
      <c r="D620" s="6" t="n">
        <v>312</v>
      </c>
    </row>
    <row r="621" customFormat="false" ht="15" hidden="false" customHeight="false" outlineLevel="0" collapsed="false">
      <c r="A621" s="4" t="s">
        <v>1741</v>
      </c>
      <c r="B621" s="4" t="s">
        <v>1741</v>
      </c>
      <c r="C621" s="4" t="s">
        <v>1742</v>
      </c>
      <c r="D621" s="6" t="n">
        <v>32</v>
      </c>
    </row>
    <row r="622" customFormat="false" ht="15" hidden="false" customHeight="false" outlineLevel="0" collapsed="false">
      <c r="A622" s="4" t="s">
        <v>1743</v>
      </c>
      <c r="B622" s="4" t="s">
        <v>1743</v>
      </c>
      <c r="C622" s="4" t="s">
        <v>1744</v>
      </c>
      <c r="D622" s="6" t="n">
        <v>0</v>
      </c>
    </row>
    <row r="623" customFormat="false" ht="15" hidden="false" customHeight="false" outlineLevel="0" collapsed="false">
      <c r="A623" s="4" t="s">
        <v>1745</v>
      </c>
      <c r="B623" s="4" t="s">
        <v>1745</v>
      </c>
      <c r="C623" s="4" t="s">
        <v>1746</v>
      </c>
      <c r="D623" s="6" t="n">
        <v>60</v>
      </c>
    </row>
    <row r="624" customFormat="false" ht="15" hidden="false" customHeight="false" outlineLevel="0" collapsed="false">
      <c r="A624" s="4" t="s">
        <v>1747</v>
      </c>
      <c r="B624" s="4" t="s">
        <v>1747</v>
      </c>
      <c r="C624" s="4" t="s">
        <v>1748</v>
      </c>
      <c r="D624" s="6" t="n">
        <v>24</v>
      </c>
    </row>
    <row r="625" customFormat="false" ht="15" hidden="false" customHeight="false" outlineLevel="0" collapsed="false">
      <c r="A625" s="4" t="s">
        <v>1749</v>
      </c>
      <c r="B625" s="4" t="s">
        <v>1749</v>
      </c>
      <c r="C625" s="4" t="s">
        <v>1750</v>
      </c>
      <c r="D625" s="6" t="n">
        <v>0</v>
      </c>
    </row>
    <row r="626" customFormat="false" ht="15" hidden="false" customHeight="false" outlineLevel="0" collapsed="false">
      <c r="A626" s="4" t="s">
        <v>1751</v>
      </c>
      <c r="B626" s="4" t="s">
        <v>1751</v>
      </c>
      <c r="C626" s="4" t="s">
        <v>1752</v>
      </c>
      <c r="D626" s="6" t="n">
        <v>86</v>
      </c>
    </row>
    <row r="627" customFormat="false" ht="15" hidden="false" customHeight="false" outlineLevel="0" collapsed="false">
      <c r="A627" s="4" t="s">
        <v>1753</v>
      </c>
      <c r="B627" s="4" t="s">
        <v>1753</v>
      </c>
      <c r="C627" s="4" t="s">
        <v>1754</v>
      </c>
      <c r="D627" s="6" t="n">
        <v>61</v>
      </c>
    </row>
    <row r="628" customFormat="false" ht="15" hidden="false" customHeight="false" outlineLevel="0" collapsed="false">
      <c r="A628" s="4" t="s">
        <v>1755</v>
      </c>
      <c r="B628" s="4" t="s">
        <v>1755</v>
      </c>
      <c r="C628" s="4" t="s">
        <v>1756</v>
      </c>
      <c r="D628" s="6" t="n">
        <v>98</v>
      </c>
    </row>
    <row r="629" customFormat="false" ht="15" hidden="false" customHeight="false" outlineLevel="0" collapsed="false">
      <c r="A629" s="4" t="s">
        <v>1757</v>
      </c>
      <c r="B629" s="4" t="s">
        <v>1757</v>
      </c>
      <c r="C629" s="4" t="s">
        <v>1758</v>
      </c>
      <c r="D629" s="6" t="n">
        <v>73</v>
      </c>
    </row>
    <row r="630" customFormat="false" ht="15" hidden="false" customHeight="false" outlineLevel="0" collapsed="false">
      <c r="A630" s="4" t="s">
        <v>1759</v>
      </c>
      <c r="B630" s="4" t="s">
        <v>1759</v>
      </c>
      <c r="C630" s="4" t="s">
        <v>1760</v>
      </c>
      <c r="D630" s="6" t="n">
        <v>85</v>
      </c>
    </row>
    <row r="631" customFormat="false" ht="15" hidden="false" customHeight="false" outlineLevel="0" collapsed="false">
      <c r="A631" s="4" t="s">
        <v>1761</v>
      </c>
      <c r="B631" s="4" t="s">
        <v>1761</v>
      </c>
      <c r="C631" s="4" t="s">
        <v>1762</v>
      </c>
      <c r="D631" s="6" t="n">
        <v>122</v>
      </c>
    </row>
    <row r="632" customFormat="false" ht="15" hidden="false" customHeight="false" outlineLevel="0" collapsed="false">
      <c r="A632" s="4" t="s">
        <v>1763</v>
      </c>
      <c r="B632" s="4" t="s">
        <v>1763</v>
      </c>
      <c r="C632" s="4" t="s">
        <v>1764</v>
      </c>
      <c r="D632" s="6" t="n">
        <v>122</v>
      </c>
    </row>
    <row r="633" customFormat="false" ht="15" hidden="false" customHeight="false" outlineLevel="0" collapsed="false">
      <c r="A633" s="4" t="s">
        <v>1765</v>
      </c>
      <c r="B633" s="4" t="s">
        <v>1765</v>
      </c>
      <c r="C633" s="4" t="s">
        <v>1766</v>
      </c>
      <c r="D633" s="6" t="n">
        <v>159</v>
      </c>
    </row>
    <row r="634" customFormat="false" ht="15" hidden="false" customHeight="false" outlineLevel="0" collapsed="false">
      <c r="A634" s="4" t="s">
        <v>1767</v>
      </c>
      <c r="B634" s="4" t="s">
        <v>1767</v>
      </c>
      <c r="C634" s="4" t="s">
        <v>1768</v>
      </c>
      <c r="D634" s="6" t="n">
        <v>146</v>
      </c>
    </row>
    <row r="635" customFormat="false" ht="15" hidden="false" customHeight="false" outlineLevel="0" collapsed="false">
      <c r="A635" s="4" t="s">
        <v>1769</v>
      </c>
      <c r="B635" s="4" t="s">
        <v>1769</v>
      </c>
      <c r="C635" s="4" t="s">
        <v>1770</v>
      </c>
      <c r="D635" s="6" t="n">
        <v>183</v>
      </c>
    </row>
    <row r="636" customFormat="false" ht="15" hidden="false" customHeight="false" outlineLevel="0" collapsed="false">
      <c r="A636" s="4" t="s">
        <v>1771</v>
      </c>
      <c r="B636" s="4" t="s">
        <v>1771</v>
      </c>
      <c r="C636" s="4" t="s">
        <v>1772</v>
      </c>
      <c r="D636" s="6" t="n">
        <v>220</v>
      </c>
    </row>
    <row r="637" customFormat="false" ht="15" hidden="false" customHeight="false" outlineLevel="0" collapsed="false">
      <c r="A637" s="4" t="s">
        <v>1773</v>
      </c>
      <c r="B637" s="4" t="s">
        <v>1773</v>
      </c>
      <c r="C637" s="4" t="s">
        <v>1774</v>
      </c>
      <c r="D637" s="6" t="n">
        <v>1355</v>
      </c>
    </row>
    <row r="638" customFormat="false" ht="15" hidden="false" customHeight="false" outlineLevel="0" collapsed="false">
      <c r="A638" s="4" t="s">
        <v>1775</v>
      </c>
      <c r="B638" s="4" t="s">
        <v>1775</v>
      </c>
      <c r="C638" s="4" t="s">
        <v>1776</v>
      </c>
      <c r="D638" s="6" t="n">
        <v>0</v>
      </c>
    </row>
    <row r="639" customFormat="false" ht="15" hidden="false" customHeight="false" outlineLevel="0" collapsed="false">
      <c r="A639" s="4" t="s">
        <v>1777</v>
      </c>
      <c r="B639" s="4" t="s">
        <v>1777</v>
      </c>
      <c r="C639" s="4" t="s">
        <v>1778</v>
      </c>
      <c r="D639" s="6" t="n">
        <v>0</v>
      </c>
    </row>
    <row r="640" customFormat="false" ht="15" hidden="false" customHeight="false" outlineLevel="0" collapsed="false">
      <c r="A640" s="4" t="s">
        <v>1779</v>
      </c>
      <c r="B640" s="4" t="s">
        <v>1779</v>
      </c>
      <c r="C640" s="4" t="s">
        <v>1780</v>
      </c>
      <c r="D640" s="6" t="n">
        <v>0</v>
      </c>
    </row>
    <row r="641" customFormat="false" ht="15" hidden="false" customHeight="false" outlineLevel="0" collapsed="false">
      <c r="A641" s="4" t="s">
        <v>1781</v>
      </c>
      <c r="B641" s="4" t="s">
        <v>1781</v>
      </c>
      <c r="C641" s="4" t="s">
        <v>1782</v>
      </c>
      <c r="D641" s="6" t="n">
        <v>0</v>
      </c>
    </row>
    <row r="642" customFormat="false" ht="15" hidden="false" customHeight="false" outlineLevel="0" collapsed="false">
      <c r="A642" s="4" t="s">
        <v>1783</v>
      </c>
      <c r="B642" s="4" t="s">
        <v>1783</v>
      </c>
      <c r="C642" s="4" t="s">
        <v>1784</v>
      </c>
      <c r="D642" s="6" t="n">
        <v>0</v>
      </c>
    </row>
    <row r="643" customFormat="false" ht="15" hidden="false" customHeight="false" outlineLevel="0" collapsed="false">
      <c r="A643" s="4" t="s">
        <v>1785</v>
      </c>
      <c r="B643" s="4" t="s">
        <v>1785</v>
      </c>
      <c r="C643" s="4" t="s">
        <v>1786</v>
      </c>
      <c r="D643" s="6" t="n">
        <v>0</v>
      </c>
    </row>
    <row r="644" customFormat="false" ht="15" hidden="false" customHeight="false" outlineLevel="0" collapsed="false">
      <c r="A644" s="4" t="s">
        <v>1787</v>
      </c>
      <c r="B644" s="4" t="s">
        <v>1787</v>
      </c>
      <c r="C644" s="4" t="s">
        <v>1788</v>
      </c>
      <c r="D644" s="6" t="n">
        <v>0</v>
      </c>
    </row>
    <row r="645" customFormat="false" ht="15" hidden="false" customHeight="false" outlineLevel="0" collapsed="false">
      <c r="A645" s="4" t="s">
        <v>1789</v>
      </c>
      <c r="B645" s="4" t="s">
        <v>1789</v>
      </c>
      <c r="C645" s="4" t="s">
        <v>1790</v>
      </c>
      <c r="D645" s="6" t="n">
        <v>0</v>
      </c>
    </row>
    <row r="646" customFormat="false" ht="15" hidden="false" customHeight="false" outlineLevel="0" collapsed="false">
      <c r="A646" s="4" t="s">
        <v>1791</v>
      </c>
      <c r="B646" s="4" t="s">
        <v>1791</v>
      </c>
      <c r="C646" s="4" t="s">
        <v>1792</v>
      </c>
      <c r="D646" s="6" t="n">
        <v>0</v>
      </c>
    </row>
    <row r="647" customFormat="false" ht="15" hidden="false" customHeight="false" outlineLevel="0" collapsed="false">
      <c r="A647" s="4" t="s">
        <v>1793</v>
      </c>
      <c r="B647" s="4" t="s">
        <v>1793</v>
      </c>
      <c r="C647" s="4" t="s">
        <v>1794</v>
      </c>
      <c r="D647" s="6" t="n">
        <v>0</v>
      </c>
    </row>
    <row r="648" customFormat="false" ht="15" hidden="false" customHeight="false" outlineLevel="0" collapsed="false">
      <c r="A648" s="4" t="s">
        <v>1795</v>
      </c>
      <c r="B648" s="4" t="s">
        <v>1795</v>
      </c>
      <c r="C648" s="4" t="s">
        <v>1796</v>
      </c>
      <c r="D648" s="6" t="n">
        <v>0</v>
      </c>
    </row>
    <row r="649" customFormat="false" ht="15" hidden="false" customHeight="false" outlineLevel="0" collapsed="false">
      <c r="A649" s="4" t="s">
        <v>1797</v>
      </c>
      <c r="B649" s="4" t="s">
        <v>1797</v>
      </c>
      <c r="C649" s="4" t="s">
        <v>1798</v>
      </c>
      <c r="D649" s="6" t="n">
        <v>0</v>
      </c>
    </row>
    <row r="650" customFormat="false" ht="15" hidden="false" customHeight="false" outlineLevel="0" collapsed="false">
      <c r="A650" s="4" t="s">
        <v>1799</v>
      </c>
      <c r="B650" s="4" t="s">
        <v>1799</v>
      </c>
      <c r="C650" s="4" t="s">
        <v>1800</v>
      </c>
      <c r="D650" s="6" t="n">
        <v>0</v>
      </c>
    </row>
    <row r="651" customFormat="false" ht="15" hidden="false" customHeight="false" outlineLevel="0" collapsed="false">
      <c r="A651" s="4" t="s">
        <v>1801</v>
      </c>
      <c r="B651" s="4" t="s">
        <v>1801</v>
      </c>
      <c r="C651" s="4" t="s">
        <v>1802</v>
      </c>
      <c r="D651" s="6" t="n">
        <v>0</v>
      </c>
    </row>
    <row r="652" customFormat="false" ht="15" hidden="false" customHeight="false" outlineLevel="0" collapsed="false">
      <c r="A652" s="4" t="s">
        <v>1803</v>
      </c>
      <c r="B652" s="4" t="s">
        <v>1803</v>
      </c>
      <c r="C652" s="4" t="s">
        <v>1804</v>
      </c>
      <c r="D652" s="6" t="n">
        <v>0</v>
      </c>
    </row>
    <row r="653" customFormat="false" ht="15" hidden="false" customHeight="false" outlineLevel="0" collapsed="false">
      <c r="A653" s="4" t="s">
        <v>1805</v>
      </c>
      <c r="B653" s="4" t="s">
        <v>1805</v>
      </c>
      <c r="C653" s="4" t="s">
        <v>1806</v>
      </c>
      <c r="D653" s="6" t="n">
        <v>0</v>
      </c>
    </row>
    <row r="654" customFormat="false" ht="15" hidden="false" customHeight="false" outlineLevel="0" collapsed="false">
      <c r="A654" s="4" t="s">
        <v>1807</v>
      </c>
      <c r="B654" s="4" t="s">
        <v>1807</v>
      </c>
      <c r="C654" s="4" t="s">
        <v>1808</v>
      </c>
      <c r="D654" s="6" t="n">
        <v>0</v>
      </c>
    </row>
    <row r="655" customFormat="false" ht="15" hidden="false" customHeight="false" outlineLevel="0" collapsed="false">
      <c r="A655" s="4" t="s">
        <v>1809</v>
      </c>
      <c r="B655" s="4" t="s">
        <v>1809</v>
      </c>
      <c r="C655" s="4" t="s">
        <v>1810</v>
      </c>
      <c r="D655" s="6" t="n">
        <v>878237.5</v>
      </c>
    </row>
    <row r="656" customFormat="false" ht="15" hidden="false" customHeight="false" outlineLevel="0" collapsed="false">
      <c r="A656" s="4" t="s">
        <v>1811</v>
      </c>
      <c r="B656" s="4" t="s">
        <v>1811</v>
      </c>
      <c r="C656" s="4" t="s">
        <v>1812</v>
      </c>
      <c r="D656" s="6" t="n">
        <v>0</v>
      </c>
    </row>
    <row r="657" customFormat="false" ht="15" hidden="false" customHeight="false" outlineLevel="0" collapsed="false">
      <c r="A657" s="4" t="s">
        <v>1813</v>
      </c>
      <c r="B657" s="4" t="s">
        <v>1813</v>
      </c>
      <c r="C657" s="4" t="s">
        <v>1814</v>
      </c>
      <c r="D657" s="6" t="n">
        <v>1862750</v>
      </c>
    </row>
    <row r="658" customFormat="false" ht="15" hidden="false" customHeight="false" outlineLevel="0" collapsed="false">
      <c r="A658" s="4" t="s">
        <v>1815</v>
      </c>
      <c r="B658" s="4" t="s">
        <v>1815</v>
      </c>
      <c r="C658" s="4" t="s">
        <v>1816</v>
      </c>
      <c r="D658" s="6" t="n">
        <v>745100</v>
      </c>
    </row>
    <row r="659" customFormat="false" ht="15" hidden="false" customHeight="false" outlineLevel="0" collapsed="false">
      <c r="A659" s="4" t="s">
        <v>1817</v>
      </c>
      <c r="B659" s="4" t="s">
        <v>1817</v>
      </c>
      <c r="C659" s="4" t="s">
        <v>1818</v>
      </c>
      <c r="D659" s="6" t="n">
        <v>0</v>
      </c>
    </row>
    <row r="660" customFormat="false" ht="15" hidden="false" customHeight="false" outlineLevel="0" collapsed="false">
      <c r="A660" s="4" t="s">
        <v>1819</v>
      </c>
      <c r="B660" s="4" t="s">
        <v>1819</v>
      </c>
      <c r="C660" s="4" t="s">
        <v>1820</v>
      </c>
      <c r="D660" s="6" t="n">
        <v>2209025</v>
      </c>
    </row>
    <row r="661" customFormat="false" ht="15" hidden="false" customHeight="false" outlineLevel="0" collapsed="false">
      <c r="A661" s="4" t="s">
        <v>1821</v>
      </c>
      <c r="B661" s="4" t="s">
        <v>1821</v>
      </c>
      <c r="C661" s="4" t="s">
        <v>1822</v>
      </c>
      <c r="D661" s="6" t="n">
        <v>1455925</v>
      </c>
    </row>
    <row r="662" customFormat="false" ht="15" hidden="false" customHeight="false" outlineLevel="0" collapsed="false">
      <c r="A662" s="4" t="s">
        <v>1823</v>
      </c>
      <c r="B662" s="4" t="s">
        <v>1823</v>
      </c>
      <c r="C662" s="4" t="s">
        <v>1824</v>
      </c>
      <c r="D662" s="6" t="n">
        <v>2166750</v>
      </c>
    </row>
    <row r="663" customFormat="false" ht="15" hidden="false" customHeight="false" outlineLevel="0" collapsed="false">
      <c r="A663" s="4" t="s">
        <v>1825</v>
      </c>
      <c r="B663" s="4" t="s">
        <v>1825</v>
      </c>
      <c r="C663" s="4" t="s">
        <v>1826</v>
      </c>
      <c r="D663" s="6" t="n">
        <v>1828475</v>
      </c>
    </row>
    <row r="664" customFormat="false" ht="15" hidden="false" customHeight="false" outlineLevel="0" collapsed="false">
      <c r="A664" s="4" t="s">
        <v>1827</v>
      </c>
      <c r="B664" s="4" t="s">
        <v>1827</v>
      </c>
      <c r="C664" s="4" t="s">
        <v>1828</v>
      </c>
      <c r="D664" s="6" t="n">
        <v>2201025</v>
      </c>
    </row>
    <row r="665" customFormat="false" ht="15" hidden="false" customHeight="false" outlineLevel="0" collapsed="false">
      <c r="A665" s="4" t="s">
        <v>1829</v>
      </c>
      <c r="B665" s="4" t="s">
        <v>1829</v>
      </c>
      <c r="C665" s="4" t="s">
        <v>1830</v>
      </c>
      <c r="D665" s="6" t="n">
        <v>2911850</v>
      </c>
    </row>
    <row r="666" customFormat="false" ht="15" hidden="false" customHeight="false" outlineLevel="0" collapsed="false">
      <c r="A666" s="4" t="s">
        <v>1831</v>
      </c>
      <c r="B666" s="4" t="s">
        <v>1831</v>
      </c>
      <c r="C666" s="4" t="s">
        <v>1832</v>
      </c>
      <c r="D666" s="6" t="n">
        <v>2911850</v>
      </c>
    </row>
    <row r="667" customFormat="false" ht="15" hidden="false" customHeight="false" outlineLevel="0" collapsed="false">
      <c r="A667" s="4" t="s">
        <v>1833</v>
      </c>
      <c r="B667" s="4" t="s">
        <v>1833</v>
      </c>
      <c r="C667" s="4" t="s">
        <v>1834</v>
      </c>
      <c r="D667" s="6" t="n">
        <v>3622675</v>
      </c>
    </row>
    <row r="668" customFormat="false" ht="15" hidden="false" customHeight="false" outlineLevel="0" collapsed="false">
      <c r="A668" s="4" t="s">
        <v>1835</v>
      </c>
      <c r="B668" s="4" t="s">
        <v>1835</v>
      </c>
      <c r="C668" s="4" t="s">
        <v>1836</v>
      </c>
      <c r="D668" s="6" t="n">
        <v>3656950</v>
      </c>
    </row>
    <row r="669" customFormat="false" ht="15" hidden="false" customHeight="false" outlineLevel="0" collapsed="false">
      <c r="A669" s="4" t="s">
        <v>1837</v>
      </c>
      <c r="B669" s="4" t="s">
        <v>1837</v>
      </c>
      <c r="C669" s="4" t="s">
        <v>1838</v>
      </c>
      <c r="D669" s="6" t="n">
        <v>4367775</v>
      </c>
    </row>
    <row r="670" customFormat="false" ht="15" hidden="false" customHeight="false" outlineLevel="0" collapsed="false">
      <c r="A670" s="4" t="s">
        <v>1839</v>
      </c>
      <c r="B670" s="4" t="s">
        <v>1839</v>
      </c>
      <c r="C670" s="4" t="s">
        <v>1840</v>
      </c>
      <c r="D670" s="6" t="n">
        <v>5078600</v>
      </c>
    </row>
    <row r="671" customFormat="false" ht="15" hidden="false" customHeight="false" outlineLevel="0" collapsed="false">
      <c r="A671" s="4" t="s">
        <v>1841</v>
      </c>
      <c r="B671" s="4" t="s">
        <v>1841</v>
      </c>
      <c r="C671" s="4" t="s">
        <v>1842</v>
      </c>
      <c r="D671" s="6" t="n">
        <v>32410900</v>
      </c>
    </row>
    <row r="672" customFormat="false" ht="15" hidden="false" customHeight="false" outlineLevel="0" collapsed="false">
      <c r="A672" s="4" t="s">
        <v>1843</v>
      </c>
      <c r="B672" s="4" t="s">
        <v>1843</v>
      </c>
      <c r="C672" s="4" t="s">
        <v>1844</v>
      </c>
      <c r="D672" s="6" t="n">
        <v>0</v>
      </c>
    </row>
    <row r="673" customFormat="false" ht="15" hidden="false" customHeight="false" outlineLevel="0" collapsed="false">
      <c r="A673" s="4" t="s">
        <v>1845</v>
      </c>
      <c r="B673" s="4" t="s">
        <v>1845</v>
      </c>
      <c r="C673" s="4" t="s">
        <v>1846</v>
      </c>
      <c r="D673" s="6" t="n">
        <v>10000</v>
      </c>
    </row>
    <row r="674" customFormat="false" ht="15" hidden="false" customHeight="false" outlineLevel="0" collapsed="false">
      <c r="A674" s="4" t="s">
        <v>1847</v>
      </c>
      <c r="B674" s="4" t="s">
        <v>1847</v>
      </c>
      <c r="C674" s="4" t="s">
        <v>1848</v>
      </c>
      <c r="D674" s="6" t="n">
        <v>10000</v>
      </c>
    </row>
    <row r="675" customFormat="false" ht="15" hidden="false" customHeight="false" outlineLevel="0" collapsed="false">
      <c r="A675" s="4" t="s">
        <v>1849</v>
      </c>
      <c r="B675" s="4" t="s">
        <v>1849</v>
      </c>
      <c r="C675" s="4" t="s">
        <v>1850</v>
      </c>
      <c r="D675" s="6" t="n">
        <v>0</v>
      </c>
    </row>
    <row r="676" customFormat="false" ht="15" hidden="false" customHeight="false" outlineLevel="0" collapsed="false">
      <c r="A676" s="4" t="s">
        <v>1851</v>
      </c>
      <c r="B676" s="4" t="s">
        <v>1851</v>
      </c>
      <c r="C676" s="4" t="s">
        <v>1852</v>
      </c>
      <c r="D676" s="6" t="n">
        <v>15000</v>
      </c>
    </row>
    <row r="677" customFormat="false" ht="15" hidden="false" customHeight="false" outlineLevel="0" collapsed="false">
      <c r="A677" s="4" t="s">
        <v>1853</v>
      </c>
      <c r="B677" s="4" t="s">
        <v>1853</v>
      </c>
      <c r="C677" s="4" t="s">
        <v>1854</v>
      </c>
      <c r="D677" s="6" t="n">
        <v>10000</v>
      </c>
    </row>
    <row r="678" customFormat="false" ht="15" hidden="false" customHeight="false" outlineLevel="0" collapsed="false">
      <c r="A678" s="4" t="s">
        <v>1855</v>
      </c>
      <c r="B678" s="4" t="s">
        <v>1855</v>
      </c>
      <c r="C678" s="4" t="s">
        <v>1856</v>
      </c>
      <c r="D678" s="6" t="n">
        <v>0</v>
      </c>
    </row>
    <row r="679" customFormat="false" ht="15" hidden="false" customHeight="false" outlineLevel="0" collapsed="false">
      <c r="A679" s="4" t="s">
        <v>1857</v>
      </c>
      <c r="B679" s="4" t="s">
        <v>1857</v>
      </c>
      <c r="C679" s="4" t="s">
        <v>1858</v>
      </c>
      <c r="D679" s="6" t="n">
        <v>25000</v>
      </c>
    </row>
    <row r="680" customFormat="false" ht="15" hidden="false" customHeight="false" outlineLevel="0" collapsed="false">
      <c r="A680" s="4" t="s">
        <v>1859</v>
      </c>
      <c r="B680" s="4" t="s">
        <v>1859</v>
      </c>
      <c r="C680" s="4" t="s">
        <v>1860</v>
      </c>
      <c r="D680" s="6" t="n">
        <v>20000</v>
      </c>
    </row>
    <row r="681" customFormat="false" ht="15" hidden="false" customHeight="false" outlineLevel="0" collapsed="false">
      <c r="A681" s="4" t="s">
        <v>1861</v>
      </c>
      <c r="B681" s="4" t="s">
        <v>1861</v>
      </c>
      <c r="C681" s="4" t="s">
        <v>1862</v>
      </c>
      <c r="D681" s="6" t="n">
        <v>30000</v>
      </c>
    </row>
    <row r="682" customFormat="false" ht="15" hidden="false" customHeight="false" outlineLevel="0" collapsed="false">
      <c r="A682" s="4" t="s">
        <v>1863</v>
      </c>
      <c r="B682" s="4" t="s">
        <v>1863</v>
      </c>
      <c r="C682" s="4" t="s">
        <v>1864</v>
      </c>
      <c r="D682" s="6" t="n">
        <v>25000</v>
      </c>
    </row>
    <row r="683" customFormat="false" ht="15" hidden="false" customHeight="false" outlineLevel="0" collapsed="false">
      <c r="A683" s="4" t="s">
        <v>1865</v>
      </c>
      <c r="B683" s="4" t="s">
        <v>1865</v>
      </c>
      <c r="C683" s="4" t="s">
        <v>1866</v>
      </c>
      <c r="D683" s="6" t="n">
        <v>30000</v>
      </c>
    </row>
    <row r="684" customFormat="false" ht="15" hidden="false" customHeight="false" outlineLevel="0" collapsed="false">
      <c r="A684" s="4" t="s">
        <v>1867</v>
      </c>
      <c r="B684" s="4" t="s">
        <v>1867</v>
      </c>
      <c r="C684" s="4" t="s">
        <v>1868</v>
      </c>
      <c r="D684" s="6" t="n">
        <v>40000</v>
      </c>
    </row>
    <row r="685" customFormat="false" ht="15" hidden="false" customHeight="false" outlineLevel="0" collapsed="false">
      <c r="A685" s="4" t="s">
        <v>1869</v>
      </c>
      <c r="B685" s="4" t="s">
        <v>1869</v>
      </c>
      <c r="C685" s="4" t="s">
        <v>1870</v>
      </c>
      <c r="D685" s="6" t="n">
        <v>40000</v>
      </c>
    </row>
    <row r="686" customFormat="false" ht="15" hidden="false" customHeight="false" outlineLevel="0" collapsed="false">
      <c r="A686" s="4" t="s">
        <v>1871</v>
      </c>
      <c r="B686" s="4" t="s">
        <v>1871</v>
      </c>
      <c r="C686" s="4" t="s">
        <v>1872</v>
      </c>
      <c r="D686" s="6" t="n">
        <v>50000</v>
      </c>
    </row>
    <row r="687" customFormat="false" ht="15" hidden="false" customHeight="false" outlineLevel="0" collapsed="false">
      <c r="A687" s="4" t="s">
        <v>1873</v>
      </c>
      <c r="B687" s="4" t="s">
        <v>1873</v>
      </c>
      <c r="C687" s="4" t="s">
        <v>1874</v>
      </c>
      <c r="D687" s="6" t="n">
        <v>50000</v>
      </c>
    </row>
    <row r="688" customFormat="false" ht="15" hidden="false" customHeight="false" outlineLevel="0" collapsed="false">
      <c r="A688" s="4" t="s">
        <v>1875</v>
      </c>
      <c r="B688" s="4" t="s">
        <v>1875</v>
      </c>
      <c r="C688" s="4" t="s">
        <v>1876</v>
      </c>
      <c r="D688" s="6" t="n">
        <v>335000</v>
      </c>
    </row>
    <row r="689" customFormat="false" ht="108.95" hidden="false" customHeight="false" outlineLevel="0" collapsed="false">
      <c r="A689" s="4" t="s">
        <v>1877</v>
      </c>
      <c r="B689" s="4" t="s">
        <v>1877</v>
      </c>
      <c r="C689" s="4" t="s">
        <v>1878</v>
      </c>
      <c r="D689" s="6" t="n">
        <v>0</v>
      </c>
    </row>
    <row r="690" customFormat="false" ht="108.95" hidden="false" customHeight="false" outlineLevel="0" collapsed="false">
      <c r="A690" s="4" t="s">
        <v>1879</v>
      </c>
      <c r="B690" s="4" t="s">
        <v>1879</v>
      </c>
      <c r="C690" s="4" t="s">
        <v>1880</v>
      </c>
      <c r="D690" s="6" t="n">
        <v>0</v>
      </c>
    </row>
    <row r="691" customFormat="false" ht="108.95" hidden="false" customHeight="false" outlineLevel="0" collapsed="false">
      <c r="A691" s="4" t="s">
        <v>1881</v>
      </c>
      <c r="B691" s="4" t="s">
        <v>1881</v>
      </c>
      <c r="C691" s="4" t="s">
        <v>1882</v>
      </c>
      <c r="D691" s="6" t="n">
        <v>0</v>
      </c>
    </row>
    <row r="692" customFormat="false" ht="108.95" hidden="false" customHeight="false" outlineLevel="0" collapsed="false">
      <c r="A692" s="4" t="s">
        <v>1883</v>
      </c>
      <c r="B692" s="4" t="s">
        <v>1883</v>
      </c>
      <c r="C692" s="4" t="s">
        <v>1884</v>
      </c>
      <c r="D692" s="6" t="n">
        <v>0</v>
      </c>
    </row>
    <row r="693" customFormat="false" ht="108.95" hidden="false" customHeight="false" outlineLevel="0" collapsed="false">
      <c r="A693" s="4" t="s">
        <v>1885</v>
      </c>
      <c r="B693" s="4" t="s">
        <v>1885</v>
      </c>
      <c r="C693" s="4" t="s">
        <v>1886</v>
      </c>
      <c r="D693" s="6" t="n">
        <v>0</v>
      </c>
    </row>
    <row r="694" customFormat="false" ht="108.95" hidden="false" customHeight="false" outlineLevel="0" collapsed="false">
      <c r="A694" s="4" t="s">
        <v>1887</v>
      </c>
      <c r="B694" s="4" t="s">
        <v>1887</v>
      </c>
      <c r="C694" s="4" t="s">
        <v>1888</v>
      </c>
      <c r="D694" s="6" t="n">
        <v>0</v>
      </c>
    </row>
    <row r="695" customFormat="false" ht="108.95" hidden="false" customHeight="false" outlineLevel="0" collapsed="false">
      <c r="A695" s="4" t="s">
        <v>1889</v>
      </c>
      <c r="B695" s="4" t="s">
        <v>1889</v>
      </c>
      <c r="C695" s="4" t="s">
        <v>1890</v>
      </c>
      <c r="D695" s="6" t="n">
        <v>0</v>
      </c>
    </row>
    <row r="696" customFormat="false" ht="108.95" hidden="false" customHeight="false" outlineLevel="0" collapsed="false">
      <c r="A696" s="4" t="s">
        <v>1891</v>
      </c>
      <c r="B696" s="4" t="s">
        <v>1891</v>
      </c>
      <c r="C696" s="4" t="s">
        <v>1892</v>
      </c>
      <c r="D696" s="6" t="n">
        <v>0</v>
      </c>
    </row>
    <row r="697" customFormat="false" ht="108.95" hidden="false" customHeight="false" outlineLevel="0" collapsed="false">
      <c r="A697" s="4" t="s">
        <v>1893</v>
      </c>
      <c r="B697" s="4" t="s">
        <v>1893</v>
      </c>
      <c r="C697" s="4" t="s">
        <v>1894</v>
      </c>
      <c r="D697" s="6" t="n">
        <v>0</v>
      </c>
    </row>
    <row r="698" customFormat="false" ht="108.95" hidden="false" customHeight="false" outlineLevel="0" collapsed="false">
      <c r="A698" s="4" t="s">
        <v>1895</v>
      </c>
      <c r="B698" s="4" t="s">
        <v>1895</v>
      </c>
      <c r="C698" s="4" t="s">
        <v>1896</v>
      </c>
      <c r="D698" s="6" t="n">
        <v>0</v>
      </c>
    </row>
    <row r="699" customFormat="false" ht="108.95" hidden="false" customHeight="false" outlineLevel="0" collapsed="false">
      <c r="A699" s="4" t="s">
        <v>1897</v>
      </c>
      <c r="B699" s="4" t="s">
        <v>1897</v>
      </c>
      <c r="C699" s="4" t="s">
        <v>1898</v>
      </c>
      <c r="D699" s="6" t="n">
        <v>0</v>
      </c>
    </row>
    <row r="700" customFormat="false" ht="108.95" hidden="false" customHeight="false" outlineLevel="0" collapsed="false">
      <c r="A700" s="4" t="s">
        <v>1899</v>
      </c>
      <c r="B700" s="4" t="s">
        <v>1899</v>
      </c>
      <c r="C700" s="4" t="s">
        <v>1900</v>
      </c>
      <c r="D700" s="6" t="n">
        <v>0</v>
      </c>
    </row>
    <row r="701" customFormat="false" ht="108.95" hidden="false" customHeight="false" outlineLevel="0" collapsed="false">
      <c r="A701" s="4" t="s">
        <v>1901</v>
      </c>
      <c r="B701" s="4" t="s">
        <v>1901</v>
      </c>
      <c r="C701" s="4" t="s">
        <v>1902</v>
      </c>
      <c r="D701" s="6" t="n">
        <v>0</v>
      </c>
    </row>
    <row r="702" customFormat="false" ht="108.95" hidden="false" customHeight="false" outlineLevel="0" collapsed="false">
      <c r="A702" s="4" t="s">
        <v>1903</v>
      </c>
      <c r="B702" s="4" t="s">
        <v>1903</v>
      </c>
      <c r="C702" s="4" t="s">
        <v>1904</v>
      </c>
      <c r="D702" s="6" t="n">
        <v>0</v>
      </c>
    </row>
    <row r="703" customFormat="false" ht="108.95" hidden="false" customHeight="false" outlineLevel="0" collapsed="false">
      <c r="A703" s="4" t="s">
        <v>1905</v>
      </c>
      <c r="B703" s="4" t="s">
        <v>1905</v>
      </c>
      <c r="C703" s="4" t="s">
        <v>1906</v>
      </c>
      <c r="D703" s="6" t="n">
        <v>42</v>
      </c>
    </row>
    <row r="704" customFormat="false" ht="108.95" hidden="false" customHeight="false" outlineLevel="0" collapsed="false">
      <c r="A704" s="4" t="s">
        <v>1907</v>
      </c>
      <c r="B704" s="4" t="s">
        <v>1907</v>
      </c>
      <c r="C704" s="4" t="s">
        <v>1908</v>
      </c>
      <c r="D704" s="6" t="n">
        <v>48</v>
      </c>
    </row>
    <row r="705" customFormat="false" ht="108.95" hidden="false" customHeight="false" outlineLevel="0" collapsed="false">
      <c r="A705" s="4" t="s">
        <v>1909</v>
      </c>
      <c r="B705" s="4" t="s">
        <v>1909</v>
      </c>
      <c r="C705" s="4" t="s">
        <v>1910</v>
      </c>
      <c r="D705" s="6" t="n">
        <v>0</v>
      </c>
    </row>
    <row r="706" customFormat="false" ht="108.95" hidden="false" customHeight="false" outlineLevel="0" collapsed="false">
      <c r="A706" s="4" t="s">
        <v>1911</v>
      </c>
      <c r="B706" s="4" t="s">
        <v>1911</v>
      </c>
      <c r="C706" s="4" t="s">
        <v>1912</v>
      </c>
      <c r="D706" s="6" t="n">
        <v>0</v>
      </c>
    </row>
    <row r="707" customFormat="false" ht="108.95" hidden="false" customHeight="false" outlineLevel="0" collapsed="false">
      <c r="A707" s="4" t="s">
        <v>1913</v>
      </c>
      <c r="B707" s="4" t="s">
        <v>1913</v>
      </c>
      <c r="C707" s="4" t="s">
        <v>1914</v>
      </c>
      <c r="D707" s="6" t="n">
        <v>0</v>
      </c>
    </row>
    <row r="708" customFormat="false" ht="108.95" hidden="false" customHeight="false" outlineLevel="0" collapsed="false">
      <c r="A708" s="4" t="s">
        <v>1915</v>
      </c>
      <c r="B708" s="4" t="s">
        <v>1915</v>
      </c>
      <c r="C708" s="4" t="s">
        <v>1916</v>
      </c>
      <c r="D708" s="6" t="n">
        <v>0</v>
      </c>
    </row>
    <row r="709" customFormat="false" ht="108.95" hidden="false" customHeight="false" outlineLevel="0" collapsed="false">
      <c r="A709" s="4" t="s">
        <v>1917</v>
      </c>
      <c r="B709" s="4" t="s">
        <v>1917</v>
      </c>
      <c r="C709" s="4" t="s">
        <v>1918</v>
      </c>
      <c r="D709" s="6" t="n">
        <v>0</v>
      </c>
    </row>
    <row r="710" customFormat="false" ht="108.95" hidden="false" customHeight="false" outlineLevel="0" collapsed="false">
      <c r="A710" s="4" t="s">
        <v>1919</v>
      </c>
      <c r="B710" s="4" t="s">
        <v>1919</v>
      </c>
      <c r="C710" s="4" t="s">
        <v>1920</v>
      </c>
      <c r="D710" s="6" t="n">
        <v>0</v>
      </c>
    </row>
    <row r="711" customFormat="false" ht="108.95" hidden="false" customHeight="false" outlineLevel="0" collapsed="false">
      <c r="A711" s="4" t="s">
        <v>1921</v>
      </c>
      <c r="B711" s="4" t="s">
        <v>1921</v>
      </c>
      <c r="C711" s="4" t="s">
        <v>1922</v>
      </c>
      <c r="D711" s="6" t="n">
        <v>0</v>
      </c>
    </row>
    <row r="712" customFormat="false" ht="108.95" hidden="false" customHeight="false" outlineLevel="0" collapsed="false">
      <c r="A712" s="4" t="s">
        <v>1923</v>
      </c>
      <c r="B712" s="4" t="s">
        <v>1923</v>
      </c>
      <c r="C712" s="4" t="s">
        <v>1924</v>
      </c>
      <c r="D712" s="6" t="n">
        <v>0</v>
      </c>
    </row>
    <row r="713" customFormat="false" ht="108.95" hidden="false" customHeight="false" outlineLevel="0" collapsed="false">
      <c r="A713" s="4" t="s">
        <v>1925</v>
      </c>
      <c r="B713" s="4" t="s">
        <v>1925</v>
      </c>
      <c r="C713" s="4" t="s">
        <v>1926</v>
      </c>
      <c r="D713" s="6" t="n">
        <v>0</v>
      </c>
    </row>
    <row r="714" customFormat="false" ht="108.95" hidden="false" customHeight="false" outlineLevel="0" collapsed="false">
      <c r="A714" s="4" t="s">
        <v>1927</v>
      </c>
      <c r="B714" s="4" t="s">
        <v>1927</v>
      </c>
      <c r="C714" s="4" t="s">
        <v>1928</v>
      </c>
      <c r="D714" s="6" t="n">
        <v>0</v>
      </c>
    </row>
    <row r="715" customFormat="false" ht="108.95" hidden="false" customHeight="false" outlineLevel="0" collapsed="false">
      <c r="A715" s="4" t="s">
        <v>1929</v>
      </c>
      <c r="B715" s="4" t="s">
        <v>1929</v>
      </c>
      <c r="C715" s="4" t="s">
        <v>1930</v>
      </c>
      <c r="D715" s="6" t="n">
        <v>0</v>
      </c>
    </row>
    <row r="716" customFormat="false" ht="108.95" hidden="false" customHeight="false" outlineLevel="0" collapsed="false">
      <c r="A716" s="4" t="s">
        <v>1931</v>
      </c>
      <c r="B716" s="4" t="s">
        <v>1931</v>
      </c>
      <c r="C716" s="4" t="s">
        <v>1932</v>
      </c>
      <c r="D716" s="6" t="n">
        <v>0</v>
      </c>
    </row>
    <row r="717" customFormat="false" ht="108.95" hidden="false" customHeight="false" outlineLevel="0" collapsed="false">
      <c r="A717" s="4" t="s">
        <v>1933</v>
      </c>
      <c r="B717" s="4" t="s">
        <v>1933</v>
      </c>
      <c r="C717" s="4" t="s">
        <v>1934</v>
      </c>
      <c r="D717" s="6" t="n">
        <v>0</v>
      </c>
    </row>
    <row r="718" customFormat="false" ht="108.95" hidden="false" customHeight="false" outlineLevel="0" collapsed="false">
      <c r="A718" s="4" t="s">
        <v>1935</v>
      </c>
      <c r="B718" s="4" t="s">
        <v>1935</v>
      </c>
      <c r="C718" s="4" t="s">
        <v>1936</v>
      </c>
      <c r="D718" s="6" t="n">
        <v>0</v>
      </c>
    </row>
    <row r="719" customFormat="false" ht="108.95" hidden="false" customHeight="false" outlineLevel="0" collapsed="false">
      <c r="A719" s="4" t="s">
        <v>1937</v>
      </c>
      <c r="B719" s="4" t="s">
        <v>1937</v>
      </c>
      <c r="C719" s="4" t="s">
        <v>1938</v>
      </c>
      <c r="D719" s="6" t="n">
        <v>183</v>
      </c>
    </row>
    <row r="720" customFormat="false" ht="108.95" hidden="false" customHeight="false" outlineLevel="0" collapsed="false">
      <c r="A720" s="4" t="s">
        <v>1939</v>
      </c>
      <c r="B720" s="4" t="s">
        <v>1939</v>
      </c>
      <c r="C720" s="4" t="s">
        <v>1940</v>
      </c>
      <c r="D720" s="6" t="n">
        <v>220</v>
      </c>
    </row>
    <row r="721" customFormat="false" ht="28.35" hidden="false" customHeight="false" outlineLevel="0" collapsed="false">
      <c r="A721" s="4" t="s">
        <v>1941</v>
      </c>
      <c r="B721" s="4" t="s">
        <v>1941</v>
      </c>
      <c r="C721" s="4" t="s">
        <v>1942</v>
      </c>
      <c r="D721" s="6" t="n">
        <v>0</v>
      </c>
    </row>
    <row r="722" customFormat="false" ht="28.35" hidden="false" customHeight="false" outlineLevel="0" collapsed="false">
      <c r="A722" s="4" t="s">
        <v>1943</v>
      </c>
      <c r="B722" s="4" t="s">
        <v>1943</v>
      </c>
      <c r="C722" s="4" t="s">
        <v>1944</v>
      </c>
      <c r="D722" s="6" t="n">
        <v>0</v>
      </c>
    </row>
    <row r="723" customFormat="false" ht="28.35" hidden="false" customHeight="false" outlineLevel="0" collapsed="false">
      <c r="A723" s="4" t="s">
        <v>1945</v>
      </c>
      <c r="B723" s="4" t="s">
        <v>1945</v>
      </c>
      <c r="C723" s="4" t="s">
        <v>1946</v>
      </c>
      <c r="D723" s="6" t="n">
        <v>0</v>
      </c>
    </row>
    <row r="724" customFormat="false" ht="28.35" hidden="false" customHeight="false" outlineLevel="0" collapsed="false">
      <c r="A724" s="4" t="s">
        <v>1947</v>
      </c>
      <c r="B724" s="4" t="s">
        <v>1947</v>
      </c>
      <c r="C724" s="4" t="s">
        <v>1948</v>
      </c>
      <c r="D724" s="6" t="n">
        <v>0</v>
      </c>
    </row>
    <row r="725" customFormat="false" ht="28.35" hidden="false" customHeight="false" outlineLevel="0" collapsed="false">
      <c r="A725" s="4" t="s">
        <v>1949</v>
      </c>
      <c r="B725" s="4" t="s">
        <v>1949</v>
      </c>
      <c r="C725" s="4" t="s">
        <v>1950</v>
      </c>
      <c r="D725" s="6" t="n">
        <v>0</v>
      </c>
    </row>
    <row r="726" customFormat="false" ht="28.35" hidden="false" customHeight="false" outlineLevel="0" collapsed="false">
      <c r="A726" s="4" t="s">
        <v>1951</v>
      </c>
      <c r="B726" s="4" t="s">
        <v>1951</v>
      </c>
      <c r="C726" s="4" t="s">
        <v>1952</v>
      </c>
      <c r="D726" s="6" t="n">
        <v>0</v>
      </c>
    </row>
    <row r="727" customFormat="false" ht="28.35" hidden="false" customHeight="false" outlineLevel="0" collapsed="false">
      <c r="A727" s="4" t="s">
        <v>1953</v>
      </c>
      <c r="B727" s="4" t="s">
        <v>1953</v>
      </c>
      <c r="C727" s="4" t="s">
        <v>1954</v>
      </c>
      <c r="D727" s="6" t="n">
        <v>0</v>
      </c>
    </row>
    <row r="728" customFormat="false" ht="28.35" hidden="false" customHeight="false" outlineLevel="0" collapsed="false">
      <c r="A728" s="4" t="s">
        <v>1955</v>
      </c>
      <c r="B728" s="4" t="s">
        <v>1955</v>
      </c>
      <c r="C728" s="4" t="s">
        <v>1956</v>
      </c>
      <c r="D728" s="6" t="n">
        <v>0</v>
      </c>
    </row>
    <row r="729" customFormat="false" ht="28.35" hidden="false" customHeight="false" outlineLevel="0" collapsed="false">
      <c r="A729" s="4" t="s">
        <v>1957</v>
      </c>
      <c r="B729" s="4" t="s">
        <v>1957</v>
      </c>
      <c r="C729" s="4" t="s">
        <v>1958</v>
      </c>
      <c r="D729" s="6" t="n">
        <v>0</v>
      </c>
    </row>
    <row r="730" customFormat="false" ht="28.35" hidden="false" customHeight="false" outlineLevel="0" collapsed="false">
      <c r="A730" s="4" t="s">
        <v>1959</v>
      </c>
      <c r="B730" s="4" t="s">
        <v>1959</v>
      </c>
      <c r="C730" s="4" t="s">
        <v>1960</v>
      </c>
      <c r="D730" s="6" t="n">
        <v>0</v>
      </c>
    </row>
    <row r="731" customFormat="false" ht="28.35" hidden="false" customHeight="false" outlineLevel="0" collapsed="false">
      <c r="A731" s="4" t="s">
        <v>1961</v>
      </c>
      <c r="B731" s="4" t="s">
        <v>1961</v>
      </c>
      <c r="C731" s="4" t="s">
        <v>1962</v>
      </c>
      <c r="D731" s="6" t="n">
        <v>0</v>
      </c>
    </row>
    <row r="732" customFormat="false" ht="28.35" hidden="false" customHeight="false" outlineLevel="0" collapsed="false">
      <c r="A732" s="4" t="s">
        <v>1963</v>
      </c>
      <c r="B732" s="4" t="s">
        <v>1963</v>
      </c>
      <c r="C732" s="4" t="s">
        <v>1964</v>
      </c>
      <c r="D732" s="6" t="n">
        <v>0</v>
      </c>
    </row>
    <row r="733" customFormat="false" ht="28.35" hidden="false" customHeight="false" outlineLevel="0" collapsed="false">
      <c r="A733" s="4" t="s">
        <v>1965</v>
      </c>
      <c r="B733" s="4" t="s">
        <v>1965</v>
      </c>
      <c r="C733" s="4" t="s">
        <v>1966</v>
      </c>
      <c r="D733" s="6" t="n">
        <v>0</v>
      </c>
    </row>
    <row r="734" customFormat="false" ht="28.35" hidden="false" customHeight="false" outlineLevel="0" collapsed="false">
      <c r="A734" s="4" t="s">
        <v>1967</v>
      </c>
      <c r="B734" s="4" t="s">
        <v>1967</v>
      </c>
      <c r="C734" s="4" t="s">
        <v>1968</v>
      </c>
      <c r="D734" s="6" t="n">
        <v>0</v>
      </c>
    </row>
    <row r="735" customFormat="false" ht="28.35" hidden="false" customHeight="false" outlineLevel="0" collapsed="false">
      <c r="A735" s="4" t="s">
        <v>1969</v>
      </c>
      <c r="B735" s="4" t="s">
        <v>1969</v>
      </c>
      <c r="C735" s="4" t="s">
        <v>1970</v>
      </c>
      <c r="D735" s="6" t="n">
        <v>4367775</v>
      </c>
    </row>
    <row r="736" customFormat="false" ht="28.35" hidden="false" customHeight="false" outlineLevel="0" collapsed="false">
      <c r="A736" s="4" t="s">
        <v>1971</v>
      </c>
      <c r="B736" s="4" t="s">
        <v>1971</v>
      </c>
      <c r="C736" s="4" t="s">
        <v>1972</v>
      </c>
      <c r="D736" s="6" t="n">
        <v>5078600</v>
      </c>
    </row>
    <row r="737" customFormat="false" ht="28.35" hidden="false" customHeight="false" outlineLevel="0" collapsed="false">
      <c r="A737" s="4" t="s">
        <v>1973</v>
      </c>
      <c r="B737" s="4" t="s">
        <v>1973</v>
      </c>
      <c r="C737" s="4" t="s">
        <v>1974</v>
      </c>
      <c r="D737" s="6" t="n">
        <v>9446375</v>
      </c>
    </row>
    <row r="738" customFormat="false" ht="15" hidden="false" customHeight="false" outlineLevel="0" collapsed="false">
      <c r="A738" s="4" t="s">
        <v>1975</v>
      </c>
      <c r="B738" s="4" t="s">
        <v>1975</v>
      </c>
      <c r="C738" s="4" t="s">
        <v>1976</v>
      </c>
      <c r="D738" s="6" t="n">
        <v>7941700</v>
      </c>
    </row>
    <row r="739" customFormat="false" ht="15" hidden="false" customHeight="false" outlineLevel="0" collapsed="false">
      <c r="A739" s="4" t="s">
        <v>1977</v>
      </c>
      <c r="B739" s="4" t="s">
        <v>1977</v>
      </c>
      <c r="C739" s="4" t="s">
        <v>1978</v>
      </c>
      <c r="D739" s="6" t="n">
        <v>7941700</v>
      </c>
    </row>
    <row r="740" customFormat="false" ht="15" hidden="false" customHeight="false" outlineLevel="0" collapsed="false">
      <c r="A740" s="4" t="s">
        <v>1979</v>
      </c>
      <c r="B740" s="4" t="s">
        <v>1979</v>
      </c>
      <c r="C740" s="4" t="s">
        <v>1980</v>
      </c>
      <c r="D740" s="6" t="n">
        <v>9573700</v>
      </c>
    </row>
    <row r="741" customFormat="false" ht="15" hidden="false" customHeight="false" outlineLevel="0" collapsed="false">
      <c r="A741" s="4" t="s">
        <v>1981</v>
      </c>
      <c r="B741" s="4" t="s">
        <v>1981</v>
      </c>
      <c r="C741" s="4" t="s">
        <v>1982</v>
      </c>
      <c r="D741" s="6" t="n">
        <v>10205700</v>
      </c>
    </row>
    <row r="742" customFormat="false" ht="15" hidden="false" customHeight="false" outlineLevel="0" collapsed="false">
      <c r="A742" s="4" t="s">
        <v>1983</v>
      </c>
      <c r="B742" s="4" t="s">
        <v>1983</v>
      </c>
      <c r="C742" s="4" t="s">
        <v>1984</v>
      </c>
      <c r="D742" s="6" t="n">
        <v>11238747.5</v>
      </c>
    </row>
    <row r="743" customFormat="false" ht="15" hidden="false" customHeight="false" outlineLevel="0" collapsed="false">
      <c r="A743" s="4" t="s">
        <v>1985</v>
      </c>
      <c r="B743" s="4" t="s">
        <v>1985</v>
      </c>
      <c r="C743" s="4" t="s">
        <v>1986</v>
      </c>
      <c r="D743" s="6" t="n">
        <v>12271795</v>
      </c>
    </row>
    <row r="744" customFormat="false" ht="15" hidden="false" customHeight="false" outlineLevel="0" collapsed="false">
      <c r="A744" s="4" t="s">
        <v>1987</v>
      </c>
      <c r="B744" s="4" t="s">
        <v>1987</v>
      </c>
      <c r="C744" s="4" t="s">
        <v>1988</v>
      </c>
      <c r="D744" s="6" t="n">
        <v>13620842.5</v>
      </c>
    </row>
    <row r="745" customFormat="false" ht="15" hidden="false" customHeight="false" outlineLevel="0" collapsed="false">
      <c r="A745" s="4" t="s">
        <v>1989</v>
      </c>
      <c r="B745" s="4" t="s">
        <v>1989</v>
      </c>
      <c r="C745" s="4" t="s">
        <v>1990</v>
      </c>
      <c r="D745" s="6" t="n">
        <v>14969890</v>
      </c>
    </row>
    <row r="746" customFormat="false" ht="15" hidden="false" customHeight="false" outlineLevel="0" collapsed="false">
      <c r="A746" s="4" t="s">
        <v>1991</v>
      </c>
      <c r="B746" s="4" t="s">
        <v>1991</v>
      </c>
      <c r="C746" s="4" t="s">
        <v>1992</v>
      </c>
      <c r="D746" s="6" t="n">
        <v>16701297.5</v>
      </c>
    </row>
    <row r="747" customFormat="false" ht="15" hidden="false" customHeight="false" outlineLevel="0" collapsed="false">
      <c r="A747" s="4" t="s">
        <v>1993</v>
      </c>
      <c r="B747" s="4" t="s">
        <v>1993</v>
      </c>
      <c r="C747" s="4" t="s">
        <v>1994</v>
      </c>
      <c r="D747" s="6" t="n">
        <v>18815065</v>
      </c>
    </row>
    <row r="748" customFormat="false" ht="15" hidden="false" customHeight="false" outlineLevel="0" collapsed="false">
      <c r="A748" s="4" t="s">
        <v>1995</v>
      </c>
      <c r="B748" s="4" t="s">
        <v>1995</v>
      </c>
      <c r="C748" s="4" t="s">
        <v>1996</v>
      </c>
      <c r="D748" s="6" t="n">
        <v>21017312.5</v>
      </c>
    </row>
    <row r="749" customFormat="false" ht="15" hidden="false" customHeight="false" outlineLevel="0" collapsed="false">
      <c r="A749" s="4" t="s">
        <v>1997</v>
      </c>
      <c r="B749" s="4" t="s">
        <v>1997</v>
      </c>
      <c r="C749" s="4" t="s">
        <v>1998</v>
      </c>
      <c r="D749" s="6" t="n">
        <v>23574744</v>
      </c>
    </row>
    <row r="750" customFormat="false" ht="15" hidden="false" customHeight="false" outlineLevel="0" collapsed="false">
      <c r="A750" s="4" t="s">
        <v>1999</v>
      </c>
      <c r="B750" s="4" t="s">
        <v>1999</v>
      </c>
      <c r="C750" s="4" t="s">
        <v>2000</v>
      </c>
      <c r="D750" s="6" t="n">
        <v>26509479.5</v>
      </c>
    </row>
    <row r="751" customFormat="false" ht="15" hidden="false" customHeight="false" outlineLevel="0" collapsed="false">
      <c r="A751" s="4" t="s">
        <v>2001</v>
      </c>
      <c r="B751" s="4" t="s">
        <v>2001</v>
      </c>
      <c r="C751" s="4" t="s">
        <v>2002</v>
      </c>
      <c r="D751" s="6" t="n">
        <v>29827207</v>
      </c>
    </row>
    <row r="752" customFormat="false" ht="15" hidden="false" customHeight="false" outlineLevel="0" collapsed="false">
      <c r="A752" s="4" t="s">
        <v>2003</v>
      </c>
      <c r="B752" s="4" t="s">
        <v>2003</v>
      </c>
      <c r="C752" s="4" t="s">
        <v>2004</v>
      </c>
      <c r="D752" s="6" t="n">
        <v>33527926.5</v>
      </c>
    </row>
    <row r="753" customFormat="false" ht="15" hidden="false" customHeight="false" outlineLevel="0" collapsed="false">
      <c r="A753" s="4" t="s">
        <v>2005</v>
      </c>
      <c r="B753" s="4" t="s">
        <v>2005</v>
      </c>
      <c r="C753" s="4" t="s">
        <v>2006</v>
      </c>
      <c r="D753" s="6" t="n">
        <v>37617326</v>
      </c>
    </row>
    <row r="754" customFormat="false" ht="15" hidden="false" customHeight="false" outlineLevel="0" collapsed="false">
      <c r="A754" s="4" t="s">
        <v>2007</v>
      </c>
      <c r="B754" s="4" t="s">
        <v>2007</v>
      </c>
      <c r="C754" s="4" t="s">
        <v>2006</v>
      </c>
      <c r="D754" s="6" t="n">
        <v>37617326</v>
      </c>
    </row>
    <row r="755" customFormat="false" ht="15" hidden="false" customHeight="false" outlineLevel="0" collapsed="false">
      <c r="A755" s="4" t="s">
        <v>2008</v>
      </c>
      <c r="B755" s="4" t="s">
        <v>2009</v>
      </c>
      <c r="C755" s="4" t="s">
        <v>2010</v>
      </c>
      <c r="D755" s="6" t="n">
        <v>570291.5</v>
      </c>
    </row>
    <row r="756" customFormat="false" ht="15" hidden="false" customHeight="false" outlineLevel="0" collapsed="false">
      <c r="A756" s="4" t="s">
        <v>2011</v>
      </c>
      <c r="B756" s="4" t="s">
        <v>2012</v>
      </c>
      <c r="C756" s="4" t="s">
        <v>2013</v>
      </c>
      <c r="D756" s="6" t="n">
        <v>632828</v>
      </c>
    </row>
    <row r="757" customFormat="false" ht="15" hidden="false" customHeight="false" outlineLevel="0" collapsed="false">
      <c r="A757" s="4" t="s">
        <v>2014</v>
      </c>
      <c r="B757" s="4" t="s">
        <v>2015</v>
      </c>
      <c r="C757" s="4" t="s">
        <v>2016</v>
      </c>
      <c r="D757" s="6" t="n">
        <v>662103</v>
      </c>
    </row>
    <row r="758" customFormat="false" ht="15" hidden="false" customHeight="false" outlineLevel="0" collapsed="false">
      <c r="A758" s="4" t="s">
        <v>2017</v>
      </c>
      <c r="B758" s="4" t="s">
        <v>2018</v>
      </c>
      <c r="C758" s="4" t="s">
        <v>2019</v>
      </c>
      <c r="D758" s="6" t="n">
        <v>662103</v>
      </c>
    </row>
    <row r="759" customFormat="false" ht="15" hidden="false" customHeight="false" outlineLevel="0" collapsed="false">
      <c r="A759" s="4" t="s">
        <v>2020</v>
      </c>
      <c r="B759" s="4" t="s">
        <v>2021</v>
      </c>
      <c r="C759" s="4" t="s">
        <v>2022</v>
      </c>
      <c r="D759" s="6" t="n">
        <v>783428.416666667</v>
      </c>
    </row>
    <row r="760" customFormat="false" ht="15" hidden="false" customHeight="false" outlineLevel="0" collapsed="false">
      <c r="A760" s="4" t="s">
        <v>2023</v>
      </c>
      <c r="B760" s="4" t="s">
        <v>2024</v>
      </c>
      <c r="C760" s="4" t="s">
        <v>2025</v>
      </c>
      <c r="D760" s="6" t="n">
        <v>821920.5</v>
      </c>
    </row>
    <row r="761" customFormat="false" ht="15" hidden="false" customHeight="false" outlineLevel="0" collapsed="false">
      <c r="A761" s="4" t="s">
        <v>2026</v>
      </c>
      <c r="B761" s="4" t="s">
        <v>2027</v>
      </c>
      <c r="C761" s="4" t="s">
        <v>2028</v>
      </c>
      <c r="D761" s="6" t="n">
        <v>807745.916666667</v>
      </c>
    </row>
    <row r="762" customFormat="false" ht="15" hidden="false" customHeight="false" outlineLevel="0" collapsed="false">
      <c r="A762" s="4" t="s">
        <v>2029</v>
      </c>
      <c r="B762" s="4" t="s">
        <v>2030</v>
      </c>
      <c r="C762" s="4" t="s">
        <v>2031</v>
      </c>
      <c r="D762" s="6" t="n">
        <v>907121.875</v>
      </c>
    </row>
    <row r="763" customFormat="false" ht="15" hidden="false" customHeight="false" outlineLevel="0" collapsed="false">
      <c r="A763" s="4" t="s">
        <v>2032</v>
      </c>
      <c r="B763" s="4" t="s">
        <v>2033</v>
      </c>
      <c r="C763" s="4" t="s">
        <v>2034</v>
      </c>
      <c r="D763" s="6" t="n">
        <v>997375.833333334</v>
      </c>
    </row>
    <row r="764" customFormat="false" ht="15" hidden="false" customHeight="false" outlineLevel="0" collapsed="false">
      <c r="A764" s="4" t="s">
        <v>2035</v>
      </c>
      <c r="B764" s="4" t="s">
        <v>2036</v>
      </c>
      <c r="C764" s="4" t="s">
        <v>2037</v>
      </c>
      <c r="D764" s="6" t="n">
        <v>1116046.45833333</v>
      </c>
    </row>
    <row r="765" customFormat="false" ht="15" hidden="false" customHeight="false" outlineLevel="0" collapsed="false">
      <c r="A765" s="4" t="s">
        <v>2038</v>
      </c>
      <c r="B765" s="4" t="s">
        <v>2039</v>
      </c>
      <c r="C765" s="4" t="s">
        <v>2040</v>
      </c>
      <c r="D765" s="6" t="n">
        <v>1231592.08333333</v>
      </c>
    </row>
    <row r="766" customFormat="false" ht="15" hidden="false" customHeight="false" outlineLevel="0" collapsed="false">
      <c r="A766" s="4" t="s">
        <v>2041</v>
      </c>
      <c r="B766" s="4" t="s">
        <v>2042</v>
      </c>
      <c r="C766" s="4" t="s">
        <v>2043</v>
      </c>
      <c r="D766" s="6" t="n">
        <v>1379626.04166667</v>
      </c>
    </row>
    <row r="767" customFormat="false" ht="15" hidden="false" customHeight="false" outlineLevel="0" collapsed="false">
      <c r="A767" s="4" t="s">
        <v>2044</v>
      </c>
      <c r="B767" s="4" t="s">
        <v>2045</v>
      </c>
      <c r="C767" s="4" t="s">
        <v>2046</v>
      </c>
      <c r="D767" s="6" t="n">
        <v>1561856.66666667</v>
      </c>
    </row>
    <row r="768" customFormat="false" ht="15" hidden="false" customHeight="false" outlineLevel="0" collapsed="false">
      <c r="A768" s="4" t="s">
        <v>2047</v>
      </c>
      <c r="B768" s="4" t="s">
        <v>2048</v>
      </c>
      <c r="C768" s="4" t="s">
        <v>2049</v>
      </c>
      <c r="D768" s="6" t="n">
        <v>1751627.29166667</v>
      </c>
    </row>
    <row r="769" customFormat="false" ht="15" hidden="false" customHeight="false" outlineLevel="0" collapsed="false">
      <c r="A769" s="4" t="s">
        <v>2050</v>
      </c>
      <c r="B769" s="4" t="s">
        <v>2051</v>
      </c>
      <c r="C769" s="4" t="s">
        <v>2052</v>
      </c>
      <c r="D769" s="6" t="n">
        <v>1975163.25</v>
      </c>
    </row>
    <row r="770" customFormat="false" ht="15" hidden="false" customHeight="false" outlineLevel="0" collapsed="false">
      <c r="A770" s="4" t="s">
        <v>2053</v>
      </c>
      <c r="B770" s="4" t="s">
        <v>2054</v>
      </c>
      <c r="C770" s="4" t="s">
        <v>2055</v>
      </c>
      <c r="D770" s="6" t="n">
        <v>2230141.20833333</v>
      </c>
    </row>
    <row r="771" customFormat="false" ht="15" hidden="false" customHeight="false" outlineLevel="0" collapsed="false">
      <c r="A771" s="4" t="s">
        <v>2056</v>
      </c>
      <c r="B771" s="4" t="s">
        <v>2057</v>
      </c>
      <c r="C771" s="4" t="s">
        <v>2058</v>
      </c>
      <c r="D771" s="6" t="n">
        <v>15563645.5416667</v>
      </c>
    </row>
    <row r="772" customFormat="false" ht="15" hidden="false" customHeight="false" outlineLevel="0" collapsed="false">
      <c r="A772" s="4" t="s">
        <v>2059</v>
      </c>
      <c r="B772" s="4" t="s">
        <v>2008</v>
      </c>
      <c r="C772" s="4" t="s">
        <v>2060</v>
      </c>
      <c r="D772" s="6" t="n">
        <v>421637</v>
      </c>
    </row>
    <row r="773" customFormat="false" ht="15" hidden="false" customHeight="false" outlineLevel="0" collapsed="false">
      <c r="A773" s="4" t="s">
        <v>2061</v>
      </c>
      <c r="B773" s="4" t="s">
        <v>2011</v>
      </c>
      <c r="C773" s="4" t="s">
        <v>2062</v>
      </c>
      <c r="D773" s="6" t="n">
        <v>753940.5</v>
      </c>
    </row>
    <row r="774" customFormat="false" ht="15" hidden="false" customHeight="false" outlineLevel="0" collapsed="false">
      <c r="A774" s="4" t="s">
        <v>2063</v>
      </c>
      <c r="B774" s="4" t="s">
        <v>2014</v>
      </c>
      <c r="C774" s="4" t="s">
        <v>2064</v>
      </c>
      <c r="D774" s="6" t="n">
        <v>1076240.5</v>
      </c>
    </row>
    <row r="775" customFormat="false" ht="15" hidden="false" customHeight="false" outlineLevel="0" collapsed="false">
      <c r="A775" s="4" t="s">
        <v>2065</v>
      </c>
      <c r="B775" s="4" t="s">
        <v>2017</v>
      </c>
      <c r="C775" s="4" t="s">
        <v>2066</v>
      </c>
      <c r="D775" s="6" t="n">
        <v>274101.5</v>
      </c>
    </row>
    <row r="776" customFormat="false" ht="15" hidden="false" customHeight="false" outlineLevel="0" collapsed="false">
      <c r="A776" s="4" t="s">
        <v>2067</v>
      </c>
      <c r="B776" s="4" t="s">
        <v>2020</v>
      </c>
      <c r="C776" s="4" t="s">
        <v>2068</v>
      </c>
      <c r="D776" s="6" t="n">
        <v>1898996.5</v>
      </c>
    </row>
    <row r="777" customFormat="false" ht="15" hidden="false" customHeight="false" outlineLevel="0" collapsed="false">
      <c r="A777" s="4" t="s">
        <v>2069</v>
      </c>
      <c r="B777" s="4" t="s">
        <v>2023</v>
      </c>
      <c r="C777" s="4" t="s">
        <v>2070</v>
      </c>
      <c r="D777" s="6" t="n">
        <v>1108006.5</v>
      </c>
    </row>
    <row r="778" customFormat="false" ht="15" hidden="false" customHeight="false" outlineLevel="0" collapsed="false">
      <c r="A778" s="4" t="s">
        <v>2071</v>
      </c>
      <c r="B778" s="4" t="s">
        <v>2026</v>
      </c>
      <c r="C778" s="4" t="s">
        <v>2072</v>
      </c>
      <c r="D778" s="6" t="n">
        <v>713306.5</v>
      </c>
    </row>
    <row r="779" customFormat="false" ht="15" hidden="false" customHeight="false" outlineLevel="0" collapsed="false">
      <c r="A779" s="4" t="s">
        <v>2073</v>
      </c>
      <c r="B779" s="4" t="s">
        <v>2029</v>
      </c>
      <c r="C779" s="4" t="s">
        <v>2074</v>
      </c>
      <c r="D779" s="6" t="n">
        <v>1810671</v>
      </c>
    </row>
    <row r="780" customFormat="false" ht="15" hidden="false" customHeight="false" outlineLevel="0" collapsed="false">
      <c r="A780" s="4" t="s">
        <v>2075</v>
      </c>
      <c r="B780" s="4" t="s">
        <v>2032</v>
      </c>
      <c r="C780" s="4" t="s">
        <v>2076</v>
      </c>
      <c r="D780" s="6" t="n">
        <v>1916271</v>
      </c>
    </row>
    <row r="781" customFormat="false" ht="15" hidden="false" customHeight="false" outlineLevel="0" collapsed="false">
      <c r="A781" s="4" t="s">
        <v>2077</v>
      </c>
      <c r="B781" s="4" t="s">
        <v>2035</v>
      </c>
      <c r="C781" s="4" t="s">
        <v>2078</v>
      </c>
      <c r="D781" s="6" t="n">
        <v>2148309</v>
      </c>
    </row>
    <row r="782" customFormat="false" ht="15" hidden="false" customHeight="false" outlineLevel="0" collapsed="false">
      <c r="A782" s="4" t="s">
        <v>2079</v>
      </c>
      <c r="B782" s="4" t="s">
        <v>2038</v>
      </c>
      <c r="C782" s="4" t="s">
        <v>2080</v>
      </c>
      <c r="D782" s="6" t="n">
        <v>1857761</v>
      </c>
    </row>
    <row r="783" customFormat="false" ht="15" hidden="false" customHeight="false" outlineLevel="0" collapsed="false">
      <c r="A783" s="4" t="s">
        <v>2081</v>
      </c>
      <c r="B783" s="4" t="s">
        <v>2041</v>
      </c>
      <c r="C783" s="4" t="s">
        <v>2082</v>
      </c>
      <c r="D783" s="6" t="n">
        <v>2534631</v>
      </c>
    </row>
    <row r="784" customFormat="false" ht="15" hidden="false" customHeight="false" outlineLevel="0" collapsed="false">
      <c r="A784" s="4" t="s">
        <v>2083</v>
      </c>
      <c r="B784" s="4" t="s">
        <v>2044</v>
      </c>
      <c r="C784" s="4" t="s">
        <v>2084</v>
      </c>
      <c r="D784" s="6" t="n">
        <v>2595313</v>
      </c>
    </row>
    <row r="785" customFormat="false" ht="15" hidden="false" customHeight="false" outlineLevel="0" collapsed="false">
      <c r="A785" s="4" t="s">
        <v>2085</v>
      </c>
      <c r="B785" s="4" t="s">
        <v>2047</v>
      </c>
      <c r="C785" s="4" t="s">
        <v>2086</v>
      </c>
      <c r="D785" s="6" t="n">
        <v>3040310</v>
      </c>
    </row>
    <row r="786" customFormat="false" ht="15" hidden="false" customHeight="false" outlineLevel="0" collapsed="false">
      <c r="A786" s="4" t="s">
        <v>2087</v>
      </c>
      <c r="B786" s="4" t="s">
        <v>2050</v>
      </c>
      <c r="C786" s="4" t="s">
        <v>2088</v>
      </c>
      <c r="D786" s="6" t="n">
        <v>3767794</v>
      </c>
    </row>
    <row r="787" customFormat="false" ht="15" hidden="false" customHeight="false" outlineLevel="0" collapsed="false">
      <c r="A787" s="4" t="s">
        <v>2089</v>
      </c>
      <c r="B787" s="4" t="s">
        <v>2053</v>
      </c>
      <c r="C787" s="4" t="s">
        <v>2090</v>
      </c>
      <c r="D787" s="6" t="n">
        <v>3342959</v>
      </c>
    </row>
    <row r="788" customFormat="false" ht="15" hidden="false" customHeight="false" outlineLevel="0" collapsed="false">
      <c r="A788" s="4" t="s">
        <v>2091</v>
      </c>
      <c r="B788" s="4" t="s">
        <v>2056</v>
      </c>
      <c r="C788" s="4" t="s">
        <v>2092</v>
      </c>
      <c r="D788" s="6" t="n">
        <v>26734328.5</v>
      </c>
    </row>
    <row r="789" customFormat="false" ht="15" hidden="false" customHeight="false" outlineLevel="0" collapsed="false">
      <c r="A789" s="4" t="s">
        <v>2093</v>
      </c>
      <c r="B789" s="4" t="s">
        <v>2059</v>
      </c>
      <c r="C789" s="4" t="s">
        <v>2094</v>
      </c>
      <c r="D789" s="6" t="n">
        <v>1877250.66666667</v>
      </c>
    </row>
    <row r="790" customFormat="false" ht="15" hidden="false" customHeight="false" outlineLevel="0" collapsed="false">
      <c r="A790" s="4" t="s">
        <v>2095</v>
      </c>
      <c r="B790" s="4" t="s">
        <v>2061</v>
      </c>
      <c r="C790" s="4" t="s">
        <v>2096</v>
      </c>
      <c r="D790" s="6" t="n">
        <v>1998363.16666667</v>
      </c>
    </row>
    <row r="791" customFormat="false" ht="15" hidden="false" customHeight="false" outlineLevel="0" collapsed="false">
      <c r="A791" s="4" t="s">
        <v>2097</v>
      </c>
      <c r="B791" s="4" t="s">
        <v>2063</v>
      </c>
      <c r="C791" s="4" t="s">
        <v>2098</v>
      </c>
      <c r="D791" s="6" t="n">
        <v>2412500.66666667</v>
      </c>
    </row>
    <row r="792" customFormat="false" ht="15" hidden="false" customHeight="false" outlineLevel="0" collapsed="false">
      <c r="A792" s="4" t="s">
        <v>2099</v>
      </c>
      <c r="B792" s="4" t="s">
        <v>2065</v>
      </c>
      <c r="C792" s="4" t="s">
        <v>2100</v>
      </c>
      <c r="D792" s="6" t="n">
        <v>2024499.16666667</v>
      </c>
    </row>
    <row r="793" customFormat="false" ht="15" hidden="false" customHeight="false" outlineLevel="0" collapsed="false">
      <c r="A793" s="4" t="s">
        <v>2101</v>
      </c>
      <c r="B793" s="4" t="s">
        <v>2067</v>
      </c>
      <c r="C793" s="4" t="s">
        <v>2102</v>
      </c>
      <c r="D793" s="6" t="n">
        <v>3140067.25</v>
      </c>
    </row>
    <row r="794" customFormat="false" ht="15" hidden="false" customHeight="false" outlineLevel="0" collapsed="false">
      <c r="A794" s="4" t="s">
        <v>2103</v>
      </c>
      <c r="B794" s="4" t="s">
        <v>2069</v>
      </c>
      <c r="C794" s="4" t="s">
        <v>2104</v>
      </c>
      <c r="D794" s="6" t="n">
        <v>3426153.25</v>
      </c>
    </row>
    <row r="795" customFormat="false" ht="15" hidden="false" customHeight="false" outlineLevel="0" collapsed="false">
      <c r="A795" s="4" t="s">
        <v>2105</v>
      </c>
      <c r="B795" s="4" t="s">
        <v>2071</v>
      </c>
      <c r="C795" s="4" t="s">
        <v>2106</v>
      </c>
      <c r="D795" s="6" t="n">
        <v>3331713.83333333</v>
      </c>
    </row>
    <row r="796" customFormat="false" ht="15" hidden="false" customHeight="false" outlineLevel="0" collapsed="false">
      <c r="A796" s="4" t="s">
        <v>2107</v>
      </c>
      <c r="B796" s="4" t="s">
        <v>2073</v>
      </c>
      <c r="C796" s="4" t="s">
        <v>2108</v>
      </c>
      <c r="D796" s="6" t="n">
        <v>4235262.95833333</v>
      </c>
    </row>
    <row r="797" customFormat="false" ht="15" hidden="false" customHeight="false" outlineLevel="0" collapsed="false">
      <c r="A797" s="4" t="s">
        <v>2109</v>
      </c>
      <c r="B797" s="4" t="s">
        <v>2075</v>
      </c>
      <c r="C797" s="4" t="s">
        <v>2110</v>
      </c>
      <c r="D797" s="6" t="n">
        <v>5154158.125</v>
      </c>
    </row>
    <row r="798" customFormat="false" ht="15" hidden="false" customHeight="false" outlineLevel="0" collapsed="false">
      <c r="A798" s="4" t="s">
        <v>2111</v>
      </c>
      <c r="B798" s="4" t="s">
        <v>2077</v>
      </c>
      <c r="C798" s="4" t="s">
        <v>2112</v>
      </c>
      <c r="D798" s="6" t="n">
        <v>6186420.66666667</v>
      </c>
    </row>
    <row r="799" customFormat="false" ht="15" hidden="false" customHeight="false" outlineLevel="0" collapsed="false">
      <c r="A799" s="4" t="s">
        <v>2113</v>
      </c>
      <c r="B799" s="4" t="s">
        <v>2079</v>
      </c>
      <c r="C799" s="4" t="s">
        <v>2114</v>
      </c>
      <c r="D799" s="6" t="n">
        <v>6812589.58333333</v>
      </c>
    </row>
    <row r="800" customFormat="false" ht="15" hidden="false" customHeight="false" outlineLevel="0" collapsed="false">
      <c r="A800" s="4" t="s">
        <v>2115</v>
      </c>
      <c r="B800" s="4" t="s">
        <v>2081</v>
      </c>
      <c r="C800" s="4" t="s">
        <v>2116</v>
      </c>
      <c r="D800" s="6" t="n">
        <v>7967594.54166667</v>
      </c>
    </row>
    <row r="801" customFormat="false" ht="15" hidden="false" customHeight="false" outlineLevel="0" collapsed="false">
      <c r="A801" s="4" t="s">
        <v>2117</v>
      </c>
      <c r="B801" s="4" t="s">
        <v>2083</v>
      </c>
      <c r="C801" s="4" t="s">
        <v>2118</v>
      </c>
      <c r="D801" s="6" t="n">
        <v>9001050.875</v>
      </c>
    </row>
    <row r="802" customFormat="false" ht="15" hidden="false" customHeight="false" outlineLevel="0" collapsed="false">
      <c r="A802" s="4" t="s">
        <v>2119</v>
      </c>
      <c r="B802" s="4" t="s">
        <v>2085</v>
      </c>
      <c r="C802" s="4" t="s">
        <v>2120</v>
      </c>
      <c r="D802" s="6" t="n">
        <v>10289733.5833333</v>
      </c>
    </row>
    <row r="803" customFormat="false" ht="15" hidden="false" customHeight="false" outlineLevel="0" collapsed="false">
      <c r="A803" s="4" t="s">
        <v>2121</v>
      </c>
      <c r="B803" s="4" t="s">
        <v>2087</v>
      </c>
      <c r="C803" s="4" t="s">
        <v>2122</v>
      </c>
      <c r="D803" s="6" t="n">
        <v>12082364.3333333</v>
      </c>
    </row>
    <row r="804" customFormat="false" ht="15" hidden="false" customHeight="false" outlineLevel="0" collapsed="false">
      <c r="A804" s="4" t="s">
        <v>2123</v>
      </c>
      <c r="B804" s="4" t="s">
        <v>2089</v>
      </c>
      <c r="C804" s="4" t="s">
        <v>2124</v>
      </c>
      <c r="D804" s="6" t="n">
        <v>13195182.125</v>
      </c>
    </row>
    <row r="805" customFormat="false" ht="15" hidden="false" customHeight="false" outlineLevel="0" collapsed="false">
      <c r="A805" s="4" t="s">
        <v>2125</v>
      </c>
      <c r="B805" s="4" t="s">
        <v>2091</v>
      </c>
      <c r="C805" s="4" t="s">
        <v>2124</v>
      </c>
      <c r="D805" s="6" t="n">
        <v>13195182.125</v>
      </c>
    </row>
    <row r="806" customFormat="false" ht="55.2" hidden="false" customHeight="false" outlineLevel="0" collapsed="false">
      <c r="A806" s="4" t="s">
        <v>2126</v>
      </c>
      <c r="B806" s="4" t="s">
        <v>2127</v>
      </c>
      <c r="C806" s="4" t="s">
        <v>2128</v>
      </c>
      <c r="D806" s="4" t="s">
        <v>2129</v>
      </c>
    </row>
    <row r="807" customFormat="false" ht="95.5" hidden="false" customHeight="false" outlineLevel="0" collapsed="false">
      <c r="A807" s="4" t="s">
        <v>2130</v>
      </c>
      <c r="B807" s="4" t="s">
        <v>2126</v>
      </c>
      <c r="C807" s="4" t="s">
        <v>2131</v>
      </c>
      <c r="D807" s="4" t="s">
        <v>2132</v>
      </c>
    </row>
    <row r="808" customFormat="false" ht="95.5" hidden="false" customHeight="false" outlineLevel="0" collapsed="false">
      <c r="A808" s="4" t="s">
        <v>2133</v>
      </c>
      <c r="B808" s="4" t="s">
        <v>2130</v>
      </c>
      <c r="C808" s="4" t="s">
        <v>2134</v>
      </c>
      <c r="D808" s="4" t="s">
        <v>2135</v>
      </c>
    </row>
    <row r="809" customFormat="false" ht="68.65" hidden="false" customHeight="false" outlineLevel="0" collapsed="false">
      <c r="A809" s="4" t="s">
        <v>2136</v>
      </c>
      <c r="B809" s="4" t="s">
        <v>2133</v>
      </c>
      <c r="C809" s="4" t="s">
        <v>2137</v>
      </c>
      <c r="D809" s="4" t="s">
        <v>2138</v>
      </c>
    </row>
    <row r="810" customFormat="false" ht="82.05" hidden="false" customHeight="false" outlineLevel="0" collapsed="false">
      <c r="A810" s="4" t="s">
        <v>2139</v>
      </c>
      <c r="B810" s="4" t="s">
        <v>2136</v>
      </c>
      <c r="C810" s="4" t="s">
        <v>2140</v>
      </c>
      <c r="D810" s="4" t="s">
        <v>2141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3" width="54.71"/>
    <col collapsed="false" customWidth="true" hidden="false" outlineLevel="1" max="13" min="2" style="3" width="11.29"/>
    <col collapsed="false" customWidth="true" hidden="false" outlineLevel="0" max="14" min="14" style="3" width="14.29"/>
    <col collapsed="false" customWidth="true" hidden="false" outlineLevel="0" max="15" min="15" style="3" width="12.71"/>
    <col collapsed="false" customWidth="true" hidden="false" outlineLevel="0" max="20" min="16" style="3" width="3.43"/>
    <col collapsed="false" customWidth="true" hidden="false" outlineLevel="1" max="32" min="21" style="3" width="11.29"/>
    <col collapsed="false" customWidth="true" hidden="false" outlineLevel="0" max="33" min="33" style="3" width="14.29"/>
    <col collapsed="false" customWidth="true" hidden="false" outlineLevel="0" max="34" min="34" style="3" width="12.71"/>
    <col collapsed="false" customWidth="true" hidden="false" outlineLevel="0" max="35" min="35" style="3" width="7.43"/>
    <col collapsed="false" customWidth="true" hidden="false" outlineLevel="0" max="36" min="36" style="3" width="13.15"/>
    <col collapsed="false" customWidth="true" hidden="false" outlineLevel="0" max="37" min="37" style="3" width="1.71"/>
  </cols>
  <sheetData>
    <row r="1" customFormat="false" ht="13.5" hidden="false" customHeight="true" outlineLevel="0" collapsed="false">
      <c r="A1" s="7" t="s">
        <v>2142</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2143</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9"/>
      <c r="S7" s="9"/>
      <c r="T7" s="9"/>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c r="AJ7" s="17" t="s">
        <v>2147</v>
      </c>
      <c r="AK7" s="9"/>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9"/>
      <c r="S8" s="9"/>
      <c r="T8" s="9"/>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c r="AK8" s="9"/>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2167</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9200567.13833333</v>
      </c>
      <c r="AK12" s="9"/>
    </row>
    <row r="13" customFormat="false" ht="13.5" hidden="false" customHeight="true" outlineLevel="0" collapsed="false">
      <c r="A13" s="23" t="s">
        <v>2168</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2169</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2170</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2171</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8139705.99833333</v>
      </c>
      <c r="AK16" s="9"/>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2174</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2175</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2176</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2177</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2178</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2179</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2180</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2181</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2182</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2183</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2184</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2185</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2187</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2188</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2189</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2190</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2191</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2192</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2193</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2194</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2195</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2196</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2198</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2199</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2200</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2201</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0.0998715155248062</v>
      </c>
      <c r="AI47" s="9"/>
      <c r="AJ47" s="12" t="n">
        <f aca="false">N47-AG47</f>
        <v>-1234670.49733714</v>
      </c>
      <c r="AK47" s="9"/>
    </row>
    <row r="48" customFormat="false" ht="13.5" hidden="false" customHeight="true" outlineLevel="0" collapsed="false">
      <c r="A48" s="23" t="s">
        <v>2202</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2203</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2204</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2206</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2207</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2208</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2209</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2210</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2212</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2213</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2214</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2215</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2216</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2217</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571471.92810001</v>
      </c>
      <c r="V63" s="27" t="n">
        <f aca="false">V37+V38+V39+V40+V41+V42+V56+V61+V62</f>
        <v>511666.405125523</v>
      </c>
      <c r="W63" s="27" t="n">
        <f aca="false">W37+W38+W39+W40+W41+W42+W56+W61+W62</f>
        <v>526293.58195092</v>
      </c>
      <c r="X63" s="27" t="n">
        <f aca="false">X37+X38+X39+X40+X41+X42+X56+X61+X62</f>
        <v>703040.808580445</v>
      </c>
      <c r="Y63" s="27" t="n">
        <f aca="false">Y37+Y38+Y39+Y40+Y41+Y42+Y56+Y61+Y62</f>
        <v>749036.176197804</v>
      </c>
      <c r="Z63" s="27" t="n">
        <f aca="false">Z37+Z38+Z39+Z40+Z41+Z42+Z56+Z61+Z62</f>
        <v>865090.216425568</v>
      </c>
      <c r="AA63" s="27" t="n">
        <f aca="false">AA37+AA38+AA39+AA40+AA41+AA42+AA56+AA61+AA62</f>
        <v>933767.795053728</v>
      </c>
      <c r="AB63" s="27" t="n">
        <f aca="false">AB37+AB38+AB39+AB40+AB41+AB42+AB56+AB61+AB62</f>
        <v>1047604.10563788</v>
      </c>
      <c r="AC63" s="27" t="n">
        <f aca="false">AC37+AC38+AC39+AC40+AC41+AC42+AC56+AC61+AC62</f>
        <v>1197451.04321124</v>
      </c>
      <c r="AD63" s="27" t="n">
        <f aca="false">AD37+AD38+AD39+AD40+AD41+AD42+AD56+AD61+AD62</f>
        <v>1340076.89937293</v>
      </c>
      <c r="AE63" s="27" t="n">
        <f aca="false">AE37+AE38+AE39+AE40+AE41+AE42+AE56+AE61+AE62</f>
        <v>1510805.33476297</v>
      </c>
      <c r="AF63" s="27" t="n">
        <f aca="false">AF37+AF38+AF39+AF40+AF41+AF42+AF56+AF61+AF62</f>
        <v>1647309.59280304</v>
      </c>
      <c r="AG63" s="27" t="n">
        <f aca="false">SUM(U63:AF63)</f>
        <v>11603613.8872221</v>
      </c>
      <c r="AH63" s="28" t="n">
        <f aca="false">IFERROR(AG63/AG$16,"")</f>
        <v>0.74555886383798</v>
      </c>
      <c r="AI63" s="9"/>
      <c r="AJ63" s="27" t="n">
        <f aca="false">N63-AG63</f>
        <v>-7125598.27246015</v>
      </c>
      <c r="AK63" s="9"/>
    </row>
    <row r="64" customFormat="false" ht="13.5" hidden="false" customHeight="true" outlineLevel="0" collapsed="false">
      <c r="A64" s="29" t="s">
        <v>82</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211956.488566657</v>
      </c>
      <c r="V64" s="30" t="n">
        <f aca="false">V16-V63</f>
        <v>310254.094874477</v>
      </c>
      <c r="W64" s="30" t="n">
        <f aca="false">W16-W63</f>
        <v>281452.334715747</v>
      </c>
      <c r="X64" s="30" t="n">
        <f aca="false">X16-X63</f>
        <v>204081.066419555</v>
      </c>
      <c r="Y64" s="30" t="n">
        <f aca="false">Y16-Y63</f>
        <v>248339.65713553</v>
      </c>
      <c r="Z64" s="30" t="n">
        <f aca="false">Z16-Z63</f>
        <v>250956.241907762</v>
      </c>
      <c r="AA64" s="30" t="n">
        <f aca="false">AA16-AA63</f>
        <v>297824.288279602</v>
      </c>
      <c r="AB64" s="30" t="n">
        <f aca="false">AB16-AB63</f>
        <v>332021.936028795</v>
      </c>
      <c r="AC64" s="30" t="n">
        <f aca="false">AC16-AC63</f>
        <v>364405.623455429</v>
      </c>
      <c r="AD64" s="30" t="n">
        <f aca="false">AD16-AD63</f>
        <v>411550.392293742</v>
      </c>
      <c r="AE64" s="30" t="n">
        <f aca="false">AE16-AE63</f>
        <v>464357.915237032</v>
      </c>
      <c r="AF64" s="30" t="n">
        <f aca="false">AF16-AF63</f>
        <v>582831.615530291</v>
      </c>
      <c r="AG64" s="30" t="n">
        <f aca="false">SUM(U64:AF64)</f>
        <v>3960031.65444462</v>
      </c>
      <c r="AH64" s="31" t="n">
        <f aca="false">IFERROR(AG64/AG$16,"")</f>
        <v>0.25444113616202</v>
      </c>
      <c r="AI64" s="9"/>
      <c r="AJ64" s="30" t="n">
        <f aca="false">AG64-N64</f>
        <v>1014107.72587319</v>
      </c>
      <c r="AK64" s="9"/>
    </row>
    <row r="65" customFormat="false" ht="13.5" hidden="false" customHeight="true" outlineLevel="0" collapsed="false">
      <c r="A65" s="22" t="s">
        <v>2218</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0.270549911207575</v>
      </c>
      <c r="V65" s="35" t="n">
        <f aca="false">IFERROR(V64/V16,"")</f>
        <v>0.377474579201367</v>
      </c>
      <c r="W65" s="35" t="n">
        <f aca="false">IFERROR(W64/W16,"")</f>
        <v>0.348441668237977</v>
      </c>
      <c r="X65" s="35" t="n">
        <f aca="false">IFERROR(X64/X16,"")</f>
        <v>0.224976458008528</v>
      </c>
      <c r="Y65" s="35" t="n">
        <f aca="false">IFERROR(Y64/Y16,"")</f>
        <v>0.248993056414404</v>
      </c>
      <c r="Z65" s="35" t="n">
        <f aca="false">IFERROR(Z64/Z16,"")</f>
        <v>0.22486182365789</v>
      </c>
      <c r="AA65" s="35" t="n">
        <f aca="false">IFERROR(AA64/AA16,"")</f>
        <v>0.241820560809009</v>
      </c>
      <c r="AB65" s="35" t="n">
        <f aca="false">IFERROR(AB64/AB16,"")</f>
        <v>0.240660821121999</v>
      </c>
      <c r="AC65" s="35" t="n">
        <f aca="false">IFERROR(AC64/AC16,"")</f>
        <v>0.233315662847057</v>
      </c>
      <c r="AD65" s="35" t="n">
        <f aca="false">IFERROR(AD64/AD16,"")</f>
        <v>0.234953174257837</v>
      </c>
      <c r="AE65" s="35" t="n">
        <f aca="false">IFERROR(AE64/AE16,"")</f>
        <v>0.235098498940294</v>
      </c>
      <c r="AF65" s="35" t="n">
        <f aca="false">IFERROR(AF64/AF16,"")</f>
        <v>0.261342920059247</v>
      </c>
      <c r="AG65" s="35" t="n">
        <f aca="false">IFERROR(AG64/AG16,"")</f>
        <v>0.25444113616202</v>
      </c>
      <c r="AH65" s="35"/>
      <c r="AI65" s="37"/>
      <c r="AJ65" s="35"/>
      <c r="AK65" s="37"/>
    </row>
    <row r="66" customFormat="false" ht="13.5" hidden="false" customHeight="true" outlineLevel="0" collapsed="false">
      <c r="A66" s="22" t="s">
        <v>2219</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2220</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228502</v>
      </c>
      <c r="V67" s="12" t="n">
        <f aca="false">SUM(FO!V67,PO!V67,CO!V67,FE!V67,PE!V67)</f>
        <v>233502</v>
      </c>
      <c r="W67" s="12" t="n">
        <f aca="false">SUM(FO!W67,PO!W67,CO!W67,FE!W67,PE!W67)</f>
        <v>237662</v>
      </c>
      <c r="X67" s="12" t="n">
        <f aca="false">SUM(FO!X67,PO!X67,CO!X67,FE!X67,PE!X67)</f>
        <v>236662</v>
      </c>
      <c r="Y67" s="12" t="n">
        <f aca="false">SUM(FO!Y67,PO!Y67,CO!Y67,FE!Y67,PE!Y67)</f>
        <v>236662</v>
      </c>
      <c r="Z67" s="12" t="n">
        <f aca="false">SUM(FO!Z67,PO!Z67,CO!Z67,FE!Z67,PE!Z67)</f>
        <v>241822</v>
      </c>
      <c r="AA67" s="12" t="n">
        <f aca="false">SUM(FO!AA67,PO!AA67,CO!AA67,FE!AA67,PE!AA67)</f>
        <v>251315.333333333</v>
      </c>
      <c r="AB67" s="12" t="n">
        <f aca="false">SUM(FO!AB67,PO!AB67,CO!AB67,FE!AB67,PE!AB67)</f>
        <v>254732</v>
      </c>
      <c r="AC67" s="12" t="n">
        <f aca="false">SUM(FO!AC67,PO!AC67,CO!AC67,FE!AC67,PE!AC67)</f>
        <v>254732</v>
      </c>
      <c r="AD67" s="12" t="n">
        <f aca="false">SUM(FO!AD67,PO!AD67,CO!AD67,FE!AD67,PE!AD67)</f>
        <v>261994.36</v>
      </c>
      <c r="AE67" s="12" t="n">
        <f aca="false">SUM(FO!AE67,PO!AE67,CO!AE67,FE!AE67,PE!AE67)</f>
        <v>261994.36</v>
      </c>
      <c r="AF67" s="12" t="n">
        <f aca="false">SUM(FO!AF67,PO!AF67,CO!AF67,FE!AF67,PE!AF67)</f>
        <v>261994.36</v>
      </c>
      <c r="AG67" s="12" t="n">
        <f aca="false">SUM(U67:AF67)</f>
        <v>2961574.41333333</v>
      </c>
      <c r="AH67" s="24" t="n">
        <f aca="false">IFERROR(AG67/AG$16,"")</f>
        <v>0.190287963408359</v>
      </c>
      <c r="AI67" s="9"/>
      <c r="AJ67" s="12" t="n">
        <f aca="false">N67-AG67</f>
        <v>-787185.763333333</v>
      </c>
      <c r="AK67" s="9"/>
    </row>
    <row r="68" customFormat="false" ht="13.5" hidden="false" customHeight="true" outlineLevel="0" collapsed="false">
      <c r="A68" s="23" t="s">
        <v>2221</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11824.6947127256</v>
      </c>
      <c r="V68" s="12" t="n">
        <f aca="false">SUM(FO!V68,PO!V68,CO!V68,FE!V68,PE!V68)</f>
        <v>12096.6947127256</v>
      </c>
      <c r="W68" s="12" t="n">
        <f aca="false">SUM(FO!W68,PO!W68,CO!W68,FE!W68,PE!W68)</f>
        <v>12379.5747127256</v>
      </c>
      <c r="X68" s="12" t="n">
        <f aca="false">SUM(FO!X68,PO!X68,CO!X68,FE!X68,PE!X68)</f>
        <v>12379.5747127256</v>
      </c>
      <c r="Y68" s="12" t="n">
        <f aca="false">SUM(FO!Y68,PO!Y68,CO!Y68,FE!Y68,PE!Y68)</f>
        <v>12379.5747127256</v>
      </c>
      <c r="Z68" s="12" t="n">
        <f aca="false">SUM(FO!Z68,PO!Z68,CO!Z68,FE!Z68,PE!Z68)</f>
        <v>12662.4547127256</v>
      </c>
      <c r="AA68" s="12" t="n">
        <f aca="false">SUM(FO!AA68,PO!AA68,CO!AA68,FE!AA68,PE!AA68)</f>
        <v>13240.0013793923</v>
      </c>
      <c r="AB68" s="12" t="n">
        <f aca="false">SUM(FO!AB68,PO!AB68,CO!AB68,FE!AB68,PE!AB68)</f>
        <v>13608.3347127256</v>
      </c>
      <c r="AC68" s="12" t="n">
        <f aca="false">SUM(FO!AC68,PO!AC68,CO!AC68,FE!AC68,PE!AC68)</f>
        <v>13608.3347127256</v>
      </c>
      <c r="AD68" s="12" t="n">
        <f aca="false">SUM(FO!AD68,PO!AD68,CO!AD68,FE!AD68,PE!AD68)</f>
        <v>13990.7719541074</v>
      </c>
      <c r="AE68" s="12" t="n">
        <f aca="false">SUM(FO!AE68,PO!AE68,CO!AE68,FE!AE68,PE!AE68)</f>
        <v>13990.7719541074</v>
      </c>
      <c r="AF68" s="12" t="n">
        <f aca="false">SUM(FO!AF68,PO!AF68,CO!AF68,FE!AF68,PE!AF68)</f>
        <v>13990.7719541074</v>
      </c>
      <c r="AG68" s="12" t="n">
        <f aca="false">SUM(U68:AF68)</f>
        <v>156151.554943519</v>
      </c>
      <c r="AH68" s="24" t="n">
        <f aca="false">IFERROR(AG68/AG$16,"")</f>
        <v>0.0100330963285866</v>
      </c>
      <c r="AI68" s="9"/>
      <c r="AJ68" s="12" t="n">
        <f aca="false">N68-AG68</f>
        <v>-15072.5849435191</v>
      </c>
      <c r="AK68" s="9"/>
    </row>
    <row r="69" customFormat="false" ht="13.5" hidden="false" customHeight="true" outlineLevel="0" collapsed="false">
      <c r="A69" s="23" t="s">
        <v>2222</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28342.0358678636</v>
      </c>
      <c r="V69" s="12" t="n">
        <f aca="false">SUM(FO!V69,PO!V69,CO!V69,FE!V69,PE!V69)</f>
        <v>28998.0358678636</v>
      </c>
      <c r="W69" s="12" t="n">
        <f aca="false">SUM(FO!W69,PO!W69,CO!W69,FE!W69,PE!W69)</f>
        <v>29680.2758678636</v>
      </c>
      <c r="X69" s="12" t="n">
        <f aca="false">SUM(FO!X69,PO!X69,CO!X69,FE!X69,PE!X69)</f>
        <v>29680.2758678636</v>
      </c>
      <c r="Y69" s="12" t="n">
        <f aca="false">SUM(FO!Y69,PO!Y69,CO!Y69,FE!Y69,PE!Y69)</f>
        <v>29680.2758678636</v>
      </c>
      <c r="Z69" s="12" t="n">
        <f aca="false">SUM(FO!Z69,PO!Z69,CO!Z69,FE!Z69,PE!Z69)</f>
        <v>30362.5158678636</v>
      </c>
      <c r="AA69" s="12" t="n">
        <f aca="false">SUM(FO!AA69,PO!AA69,CO!AA69,FE!AA69,PE!AA69)</f>
        <v>31755.4225345302</v>
      </c>
      <c r="AB69" s="12" t="n">
        <f aca="false">SUM(FO!AB69,PO!AB69,CO!AB69,FE!AB69,PE!AB69)</f>
        <v>32643.7558678636</v>
      </c>
      <c r="AC69" s="12" t="n">
        <f aca="false">SUM(FO!AC69,PO!AC69,CO!AC69,FE!AC69,PE!AC69)</f>
        <v>32643.7558678636</v>
      </c>
      <c r="AD69" s="12" t="n">
        <f aca="false">SUM(FO!AD69,PO!AD69,CO!AD69,FE!AD69,PE!AD69)</f>
        <v>33560.8141438995</v>
      </c>
      <c r="AE69" s="12" t="n">
        <f aca="false">SUM(FO!AE69,PO!AE69,CO!AE69,FE!AE69,PE!AE69)</f>
        <v>33560.8141438995</v>
      </c>
      <c r="AF69" s="12" t="n">
        <f aca="false">SUM(FO!AF69,PO!AF69,CO!AF69,FE!AF69,PE!AF69)</f>
        <v>33560.8141438995</v>
      </c>
      <c r="AG69" s="12" t="n">
        <f aca="false">SUM(U69:AF69)</f>
        <v>374468.791909137</v>
      </c>
      <c r="AH69" s="24" t="n">
        <f aca="false">IFERROR(AG69/AG$16,"")</f>
        <v>0.0240604806185426</v>
      </c>
      <c r="AI69" s="9"/>
      <c r="AJ69" s="12" t="n">
        <f aca="false">N69-AG69</f>
        <v>-79725.0119091372</v>
      </c>
      <c r="AK69" s="9"/>
    </row>
    <row r="70" customFormat="false" ht="13.5" hidden="false" customHeight="true" outlineLevel="0" collapsed="false">
      <c r="A70" s="23" t="s">
        <v>2223</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2224</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2225</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2226</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268668.730580589</v>
      </c>
      <c r="V73" s="39" t="n">
        <f aca="false">SUM(V67:V72)</f>
        <v>274596.730580589</v>
      </c>
      <c r="W73" s="39" t="n">
        <f aca="false">SUM(W67:W72)</f>
        <v>279721.850580589</v>
      </c>
      <c r="X73" s="39" t="n">
        <f aca="false">SUM(X67:X72)</f>
        <v>278721.850580589</v>
      </c>
      <c r="Y73" s="39" t="n">
        <f aca="false">SUM(Y67:Y72)</f>
        <v>278721.850580589</v>
      </c>
      <c r="Z73" s="39" t="n">
        <f aca="false">SUM(Z67:Z72)</f>
        <v>284846.970580589</v>
      </c>
      <c r="AA73" s="39" t="n">
        <f aca="false">SUM(AA67:AA72)</f>
        <v>296310.757247256</v>
      </c>
      <c r="AB73" s="39" t="n">
        <f aca="false">SUM(AB67:AB72)</f>
        <v>300984.090580589</v>
      </c>
      <c r="AC73" s="39" t="n">
        <f aca="false">SUM(AC67:AC72)</f>
        <v>300984.090580589</v>
      </c>
      <c r="AD73" s="39" t="n">
        <f aca="false">SUM(AD67:AD72)</f>
        <v>309545.946098007</v>
      </c>
      <c r="AE73" s="39" t="n">
        <f aca="false">SUM(AE67:AE72)</f>
        <v>309545.946098007</v>
      </c>
      <c r="AF73" s="39" t="n">
        <f aca="false">SUM(AF67:AF72)</f>
        <v>309545.946098007</v>
      </c>
      <c r="AG73" s="39" t="n">
        <f aca="false">SUM(U73:AF73)</f>
        <v>3492194.76018599</v>
      </c>
      <c r="AH73" s="40" t="n">
        <f aca="false">IFERROR(AG73/AG$16,"")</f>
        <v>0.224381540355488</v>
      </c>
      <c r="AI73" s="9"/>
      <c r="AJ73" s="39" t="n">
        <f aca="false">N73-AG73</f>
        <v>-881983.36018599</v>
      </c>
      <c r="AK73" s="9"/>
    </row>
    <row r="74" customFormat="false" ht="13.5" hidden="false" customHeight="true" outlineLevel="0" collapsed="false">
      <c r="A74" s="23" t="s">
        <v>2227</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2228</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2229</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2230</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2231</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2232</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2233</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2235</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2236</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2237</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2238</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2239</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2240</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2241</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2242</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2243</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2244</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2245</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2246</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2247</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2248</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2249</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2250</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2251</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2252</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2253</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2254</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2255</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2256</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2257</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2258</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2259</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2260</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2261</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2262</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2263</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2264</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2265</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2266</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2267</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2268</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2269</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291559.605059756</v>
      </c>
      <c r="V116" s="27" t="n">
        <f aca="false">V73+SUM(V74:V80)+V87+SUM(V88:V115)</f>
        <v>297487.605059756</v>
      </c>
      <c r="W116" s="27" t="n">
        <f aca="false">W73+SUM(W74:W80)+W87+SUM(W88:W115)</f>
        <v>303812.725059756</v>
      </c>
      <c r="X116" s="27" t="n">
        <f aca="false">X73+SUM(X74:X80)+X87+SUM(X88:X115)</f>
        <v>302812.725059756</v>
      </c>
      <c r="Y116" s="27" t="n">
        <f aca="false">Y73+SUM(Y74:Y80)+Y87+SUM(Y88:Y115)</f>
        <v>303711.891726423</v>
      </c>
      <c r="Z116" s="27" t="n">
        <f aca="false">Z73+SUM(Z74:Z80)+Z87+SUM(Z88:Z115)</f>
        <v>310136.178393089</v>
      </c>
      <c r="AA116" s="27" t="n">
        <f aca="false">AA73+SUM(AA74:AA80)+AA87+SUM(AA88:AA115)</f>
        <v>322499.131726423</v>
      </c>
      <c r="AB116" s="27" t="n">
        <f aca="false">AB73+SUM(AB74:AB80)+AB87+SUM(AB88:AB115)</f>
        <v>327471.631726422</v>
      </c>
      <c r="AC116" s="27" t="n">
        <f aca="false">AC73+SUM(AC74:AC80)+AC87+SUM(AC88:AC115)</f>
        <v>328370.798393089</v>
      </c>
      <c r="AD116" s="27" t="n">
        <f aca="false">AD73+SUM(AD74:AD80)+AD87+SUM(AD88:AD115)</f>
        <v>337231.820577174</v>
      </c>
      <c r="AE116" s="27" t="n">
        <f aca="false">AE73+SUM(AE74:AE80)+AE87+SUM(AE88:AE115)</f>
        <v>338130.98724384</v>
      </c>
      <c r="AF116" s="27" t="n">
        <f aca="false">AF73+SUM(AF74:AF80)+AF87+SUM(AF88:AF115)</f>
        <v>337670.153910507</v>
      </c>
      <c r="AG116" s="27" t="n">
        <f aca="false">SUM(U116:AF116)</f>
        <v>3800895.25393599</v>
      </c>
      <c r="AH116" s="28" t="n">
        <f aca="false">IFERROR(AG116/AG$16,"")</f>
        <v>0.244216256645033</v>
      </c>
      <c r="AI116" s="9"/>
      <c r="AJ116" s="27" t="n">
        <f aca="false">N116-AG116</f>
        <v>129062.04606401</v>
      </c>
      <c r="AK116" s="9"/>
    </row>
    <row r="117" customFormat="false" ht="13.5" hidden="false" customHeight="true" outlineLevel="0" collapsed="false">
      <c r="A117" s="38" t="s">
        <v>2270</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-79603.1164930984</v>
      </c>
      <c r="V117" s="39" t="n">
        <f aca="false">V64-V116</f>
        <v>12766.4898147209</v>
      </c>
      <c r="W117" s="39" t="n">
        <f aca="false">W64-W116</f>
        <v>-22360.3903440088</v>
      </c>
      <c r="X117" s="39" t="n">
        <f aca="false">X64-X116</f>
        <v>-98731.6586402009</v>
      </c>
      <c r="Y117" s="39" t="n">
        <f aca="false">Y64-Y116</f>
        <v>-55372.2345908923</v>
      </c>
      <c r="Z117" s="39" t="n">
        <f aca="false">Z64-Z116</f>
        <v>-59179.9364853267</v>
      </c>
      <c r="AA117" s="39" t="n">
        <f aca="false">AA64-AA116</f>
        <v>-24674.8434468206</v>
      </c>
      <c r="AB117" s="39" t="n">
        <f aca="false">AB64-AB116</f>
        <v>4550.30430237204</v>
      </c>
      <c r="AC117" s="39" t="n">
        <f aca="false">AC64-AC116</f>
        <v>36034.8250623396</v>
      </c>
      <c r="AD117" s="39" t="n">
        <f aca="false">AD64-AD116</f>
        <v>74318.5717165681</v>
      </c>
      <c r="AE117" s="39" t="n">
        <f aca="false">AE64-AE116</f>
        <v>126226.927993191</v>
      </c>
      <c r="AF117" s="39" t="n">
        <f aca="false">AF64-AF116</f>
        <v>245161.461619784</v>
      </c>
      <c r="AG117" s="39" t="n">
        <f aca="false">SUM(U117:AF117)</f>
        <v>159136.400508629</v>
      </c>
      <c r="AH117" s="40" t="n">
        <f aca="false">IFERROR(AG117/AG$16,"")</f>
        <v>0.0102248795169867</v>
      </c>
      <c r="AI117" s="9"/>
      <c r="AJ117" s="39" t="n">
        <f aca="false">AG117-N117</f>
        <v>1143169.7719372</v>
      </c>
      <c r="AK117" s="9"/>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2273</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2274</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2277</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2278</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2279</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2280</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2281</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2282</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2284</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-79603.1164930984</v>
      </c>
      <c r="V132" s="30" t="n">
        <f aca="false">V117+V131</f>
        <v>12766.4898147209</v>
      </c>
      <c r="W132" s="30" t="n">
        <f aca="false">W117+W131</f>
        <v>-22360.3903440088</v>
      </c>
      <c r="X132" s="30" t="n">
        <f aca="false">X117+X131</f>
        <v>-98731.6586402009</v>
      </c>
      <c r="Y132" s="30" t="n">
        <f aca="false">Y117+Y131</f>
        <v>-55372.2345908923</v>
      </c>
      <c r="Z132" s="30" t="n">
        <f aca="false">Z117+Z131</f>
        <v>-59179.9364853267</v>
      </c>
      <c r="AA132" s="30" t="n">
        <f aca="false">AA117+AA131</f>
        <v>-24674.8434468206</v>
      </c>
      <c r="AB132" s="30" t="n">
        <f aca="false">AB117+AB131</f>
        <v>4550.30430237204</v>
      </c>
      <c r="AC132" s="30" t="n">
        <f aca="false">AC117+AC131</f>
        <v>36034.8250623396</v>
      </c>
      <c r="AD132" s="30" t="n">
        <f aca="false">AD117+AD131</f>
        <v>74318.5717165681</v>
      </c>
      <c r="AE132" s="30" t="n">
        <f aca="false">AE117+AE131</f>
        <v>126226.927993191</v>
      </c>
      <c r="AF132" s="30" t="n">
        <f aca="false">AF117+AF131</f>
        <v>245161.461619784</v>
      </c>
      <c r="AG132" s="30" t="n">
        <f aca="false">SUM(U132:AF132)</f>
        <v>159136.400508629</v>
      </c>
      <c r="AH132" s="31" t="n">
        <f aca="false">IFERROR(AG132/AG$16,"")</f>
        <v>0.0102248795169867</v>
      </c>
      <c r="AI132" s="9"/>
      <c r="AJ132" s="30" t="n">
        <f aca="false">AG132-N132</f>
        <v>1058358.4519372</v>
      </c>
      <c r="AK132" s="9"/>
    </row>
    <row r="133" customFormat="false" ht="13.5" hidden="false" customHeight="true" outlineLevel="0" collapsed="false">
      <c r="A133" s="42" t="s">
        <v>2285</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1.16415321826935E-010</v>
      </c>
      <c r="AC133" s="43" t="n">
        <f aca="false">AC132-(CO!AC132+FE!AC132+FO!AC132+PE!AC132+PO!AC132)</f>
        <v>1.74622982740402E-010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2286</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348628.25</v>
      </c>
      <c r="V137" s="12" t="n">
        <f aca="false">SUMIF($A$9:$A$132,"*"&amp;$A137&amp;"*",V$9:V$132)</f>
        <v>349628.25</v>
      </c>
      <c r="W137" s="12" t="n">
        <f aca="false">SUMIF($A$9:$A$132,"*"&amp;$A137&amp;"*",W$9:W$132)</f>
        <v>392288.25</v>
      </c>
      <c r="X137" s="12" t="n">
        <f aca="false">SUMIF($A$9:$A$132,"*"&amp;$A137&amp;"*",X$9:X$132)</f>
        <v>403038.25</v>
      </c>
      <c r="Y137" s="12" t="n">
        <f aca="false">SUMIF($A$9:$A$132,"*"&amp;$A137&amp;"*",Y$9:Y$132)</f>
        <v>433288.25</v>
      </c>
      <c r="Z137" s="12" t="n">
        <f aca="false">SUMIF($A$9:$A$132,"*"&amp;$A137&amp;"*",Z$9:Z$132)</f>
        <v>464698.25</v>
      </c>
      <c r="AA137" s="12" t="n">
        <f aca="false">SUMIF($A$9:$A$132,"*"&amp;$A137&amp;"*",AA$9:AA$132)</f>
        <v>517191.583333333</v>
      </c>
      <c r="AB137" s="12" t="n">
        <f aca="false">SUMIF($A$9:$A$132,"*"&amp;$A137&amp;"*",AB$9:AB$132)</f>
        <v>557358.25</v>
      </c>
      <c r="AC137" s="12" t="n">
        <f aca="false">SUMIF($A$9:$A$132,"*"&amp;$A137&amp;"*",AC$9:AC$132)</f>
        <v>594108.25</v>
      </c>
      <c r="AD137" s="12" t="n">
        <f aca="false">SUMIF($A$9:$A$132,"*"&amp;$A137&amp;"*",AD$9:AD$132)</f>
        <v>666459.3975</v>
      </c>
      <c r="AE137" s="12" t="n">
        <f aca="false">SUMIF($A$9:$A$132,"*"&amp;$A137&amp;"*",AE$9:AE$132)</f>
        <v>711709.3975</v>
      </c>
      <c r="AF137" s="12" t="n">
        <f aca="false">SUMIF($A$9:$A$132,"*"&amp;$A137&amp;"*",AF$9:AF$132)</f>
        <v>761209.3975</v>
      </c>
      <c r="AG137" s="12" t="n">
        <f aca="false">SUMIF($A$9:$A$132,"*"&amp;$A137&amp;"*",AG$9:AG$132)</f>
        <v>6199605.77583333</v>
      </c>
      <c r="AH137" s="24"/>
      <c r="AI137" s="9"/>
      <c r="AJ137" s="12"/>
      <c r="AK137" s="9"/>
    </row>
    <row r="138" customFormat="false" ht="13.5" hidden="false" customHeight="true" outlineLevel="0" collapsed="false">
      <c r="A138" s="49"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2288</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19721.2797127256</v>
      </c>
      <c r="V139" s="12" t="n">
        <f aca="false">SUMIF($A$9:$A$132,"*"&amp;$A139&amp;"*",V$9:V$132)</f>
        <v>19993.2797127256</v>
      </c>
      <c r="W139" s="12" t="n">
        <f aca="false">SUMIF($A$9:$A$132,"*"&amp;$A139&amp;"*",W$9:W$132)</f>
        <v>22214.1597127256</v>
      </c>
      <c r="X139" s="12" t="n">
        <f aca="false">SUMIF($A$9:$A$132,"*"&amp;$A139&amp;"*",X$9:X$132)</f>
        <v>23285.1597127256</v>
      </c>
      <c r="Y139" s="12" t="n">
        <f aca="false">SUMIF($A$9:$A$132,"*"&amp;$A139&amp;"*",Y$9:Y$132)</f>
        <v>25070.1597127256</v>
      </c>
      <c r="Z139" s="12" t="n">
        <f aca="false">SUMIF($A$9:$A$132,"*"&amp;$A139&amp;"*",Z$9:Z$132)</f>
        <v>27138.0397127256</v>
      </c>
      <c r="AA139" s="12" t="n">
        <f aca="false">SUMIF($A$9:$A$132,"*"&amp;$A139&amp;"*",AA$9:AA$132)</f>
        <v>30367.5863793923</v>
      </c>
      <c r="AB139" s="12" t="n">
        <f aca="false">SUMIF($A$9:$A$132,"*"&amp;$A139&amp;"*",AB$9:AB$132)</f>
        <v>33234.9197127256</v>
      </c>
      <c r="AC139" s="12" t="n">
        <f aca="false">SUMIF($A$9:$A$132,"*"&amp;$A139&amp;"*",AC$9:AC$132)</f>
        <v>35733.9197127256</v>
      </c>
      <c r="AD139" s="12" t="n">
        <f aca="false">SUMIF($A$9:$A$132,"*"&amp;$A139&amp;"*",AD$9:AD$132)</f>
        <v>40134.3945041074</v>
      </c>
      <c r="AE139" s="12" t="n">
        <f aca="false">SUMIF($A$9:$A$132,"*"&amp;$A139&amp;"*",AE$9:AE$132)</f>
        <v>43347.3945041074</v>
      </c>
      <c r="AF139" s="12" t="n">
        <f aca="false">SUMIF($A$9:$A$132,"*"&amp;$A139&amp;"*",AF$9:AF$132)</f>
        <v>46713.3945041074</v>
      </c>
      <c r="AG139" s="12" t="n">
        <f aca="false">SUMIF($A$9:$A$132,"*"&amp;$A139&amp;"*",AG$9:AG$132)</f>
        <v>366953.687593519</v>
      </c>
      <c r="AH139" s="12"/>
      <c r="AI139" s="9"/>
      <c r="AJ139" s="12"/>
      <c r="AK139" s="9"/>
    </row>
    <row r="140" customFormat="false" ht="13.5" hidden="false" customHeight="true" outlineLevel="0" collapsed="false">
      <c r="A140" s="49" t="s">
        <v>2289</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47386.7408678636</v>
      </c>
      <c r="V140" s="12" t="n">
        <f aca="false">SUMIF($A$9:$A$132,"*"&amp;$A140&amp;"*",V$9:V$132)</f>
        <v>48042.7408678636</v>
      </c>
      <c r="W140" s="12" t="n">
        <f aca="false">SUMIF($A$9:$A$132,"*"&amp;$A140&amp;"*",W$9:W$132)</f>
        <v>53398.9808678636</v>
      </c>
      <c r="X140" s="12" t="n">
        <f aca="false">SUMIF($A$9:$A$132,"*"&amp;$A140&amp;"*",X$9:X$132)</f>
        <v>55981.9808678636</v>
      </c>
      <c r="Y140" s="12" t="n">
        <f aca="false">SUMIF($A$9:$A$132,"*"&amp;$A140&amp;"*",Y$9:Y$132)</f>
        <v>60286.9808678636</v>
      </c>
      <c r="Z140" s="12" t="n">
        <f aca="false">SUMIF($A$9:$A$132,"*"&amp;$A140&amp;"*",Z$9:Z$132)</f>
        <v>65274.2208678636</v>
      </c>
      <c r="AA140" s="12" t="n">
        <f aca="false">SUMIF($A$9:$A$132,"*"&amp;$A140&amp;"*",AA$9:AA$132)</f>
        <v>73063.1275345302</v>
      </c>
      <c r="AB140" s="12" t="n">
        <f aca="false">SUMIF($A$9:$A$132,"*"&amp;$A140&amp;"*",AB$9:AB$132)</f>
        <v>79978.4608678636</v>
      </c>
      <c r="AC140" s="12" t="n">
        <f aca="false">SUMIF($A$9:$A$132,"*"&amp;$A140&amp;"*",AC$9:AC$132)</f>
        <v>86005.4608678636</v>
      </c>
      <c r="AD140" s="12" t="n">
        <f aca="false">SUMIF($A$9:$A$132,"*"&amp;$A140&amp;"*",AD$9:AD$132)</f>
        <v>96613.0802938995</v>
      </c>
      <c r="AE140" s="12" t="n">
        <f aca="false">SUMIF($A$9:$A$132,"*"&amp;$A140&amp;"*",AE$9:AE$132)</f>
        <v>104362.080293899</v>
      </c>
      <c r="AF140" s="12" t="n">
        <f aca="false">SUMIF($A$9:$A$132,"*"&amp;$A140&amp;"*",AF$9:AF$132)</f>
        <v>112480.080293899</v>
      </c>
      <c r="AG140" s="12" t="n">
        <f aca="false">SUMIF($A$9:$A$132,"*"&amp;$A140&amp;"*",AG$9:AG$132)</f>
        <v>882873.935359137</v>
      </c>
      <c r="AH140" s="12"/>
      <c r="AI140" s="9"/>
      <c r="AJ140" s="12"/>
      <c r="AK140" s="9"/>
    </row>
    <row r="141" customFormat="false" ht="13.5" hidden="false" customHeight="true" outlineLevel="0" collapsed="false">
      <c r="A141" s="50" t="s">
        <v>2290</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0.192491631359734</v>
      </c>
      <c r="V141" s="24" t="n">
        <f aca="false">IFERROR(SUM(V139:V140)/SUM(V137:V138),"")</f>
        <v>0.194595318257575</v>
      </c>
      <c r="W141" s="24" t="n">
        <f aca="false">IFERROR(SUM(W139:W140)/SUM(W137:W138),"")</f>
        <v>0.192748930360747</v>
      </c>
      <c r="X141" s="24" t="n">
        <f aca="false">IFERROR(SUM(X139:X140)/SUM(X137:X138),"")</f>
        <v>0.196673989579374</v>
      </c>
      <c r="Y141" s="24" t="n">
        <f aca="false">IFERROR(SUM(Y139:Y140)/SUM(Y137:Y138),"")</f>
        <v>0.196998512146566</v>
      </c>
      <c r="Z141" s="24" t="n">
        <f aca="false">IFERROR(SUM(Z139:Z140)/SUM(Z137:Z138),"")</f>
        <v>0.198865092736177</v>
      </c>
      <c r="AA141" s="24" t="n">
        <f aca="false">IFERROR(SUM(AA139:AA140)/SUM(AA137:AA138),"")</f>
        <v>0.199985299929486</v>
      </c>
      <c r="AB141" s="24" t="n">
        <f aca="false">IFERROR(SUM(AB139:AB140)/SUM(AB137:AB138),"")</f>
        <v>0.203124974970029</v>
      </c>
      <c r="AC141" s="24" t="n">
        <f aca="false">IFERROR(SUM(AC139:AC140)/SUM(AC137:AC138),"")</f>
        <v>0.204911109348489</v>
      </c>
      <c r="AD141" s="24" t="n">
        <f aca="false">IFERROR(SUM(AD139:AD140)/SUM(AD137:AD138),"")</f>
        <v>0.205185004984504</v>
      </c>
      <c r="AE141" s="24" t="n">
        <f aca="false">IFERROR(SUM(AE139:AE140)/SUM(AE137:AE138),"")</f>
        <v>0.207541835638059</v>
      </c>
      <c r="AF141" s="24" t="n">
        <f aca="false">IFERROR(SUM(AF139:AF140)/SUM(AF137:AF138),"")</f>
        <v>0.209132303569606</v>
      </c>
      <c r="AG141" s="24" t="n">
        <f aca="false">IFERROR(SUM(AG139:AG140)/SUM(AG137:AG138),"")</f>
        <v>0.201597918987786</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3" width="47.88"/>
    <col collapsed="false" customWidth="true" hidden="false" outlineLevel="1" max="13" min="2" style="3" width="9.88"/>
    <col collapsed="false" customWidth="true" hidden="false" outlineLevel="0" max="14" min="14" style="3" width="12.5"/>
    <col collapsed="false" customWidth="true" hidden="false" outlineLevel="0" max="15" min="15" style="3" width="11.12"/>
    <col collapsed="false" customWidth="true" hidden="false" outlineLevel="0" max="16" min="16" style="3" width="5.38"/>
    <col collapsed="false" customWidth="true" hidden="false" outlineLevel="0" max="17" min="17" style="3" width="5"/>
    <col collapsed="false" customWidth="true" hidden="false" outlineLevel="0" max="18" min="18" style="3" width="13.13"/>
    <col collapsed="false" customWidth="true" hidden="false" outlineLevel="0" max="19" min="19" style="3" width="12"/>
    <col collapsed="false" customWidth="true" hidden="false" outlineLevel="0" max="20" min="20" style="3" width="11.12"/>
    <col collapsed="false" customWidth="true" hidden="false" outlineLevel="1" max="32" min="21" style="3" width="9.88"/>
    <col collapsed="false" customWidth="true" hidden="false" outlineLevel="0" max="33" min="33" style="3" width="12.5"/>
    <col collapsed="false" customWidth="true" hidden="false" outlineLevel="0" max="34" min="34" style="3" width="11.12"/>
    <col collapsed="false" customWidth="true" hidden="false" outlineLevel="0" max="35" min="35" style="3" width="6.51"/>
    <col collapsed="false" customWidth="true" hidden="false" outlineLevel="0" max="36" min="36" style="3" width="11.5"/>
  </cols>
  <sheetData>
    <row r="1" customFormat="false" ht="13.5" hidden="false" customHeight="true" outlineLevel="0" collapsed="false">
      <c r="A1" s="54" t="s">
        <v>2291</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2143</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57"/>
      <c r="S7" s="58" t="s">
        <v>2292</v>
      </c>
      <c r="T7" s="58" t="s">
        <v>2147</v>
      </c>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c r="AJ7" s="17" t="s">
        <v>2147</v>
      </c>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57" t="s">
        <v>2293</v>
      </c>
      <c r="S8" s="58" t="s">
        <v>2294</v>
      </c>
      <c r="T8" s="58" t="s">
        <v>2295</v>
      </c>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2167</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2296</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2168</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2296</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2169</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2170</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2296</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2171</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2174</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2296</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2175</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2296</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2176</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2296</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2177</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2296</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2178</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2296</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2179</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2296</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2180</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2296</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2181</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2182</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2296</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2183</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2297</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2184</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2297</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2185</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2296</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2187</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2188</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2189</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2190</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2191</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2192</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2296</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2193</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2296</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2194</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2296</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2195</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2296</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2196</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2296</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2198</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2297</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2199</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2297</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2200</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2297</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2201</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2297</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2202</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2297</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2203</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2297</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2204</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2296</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2206</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2207</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2208</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2209</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2210</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2212</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2296</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2213</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2296</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2214</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2296</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2215</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2216</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2296</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2217</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82</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2218</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2219</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2220</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2221</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2222</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2223</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2296</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2224</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2296</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2225</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2296</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2226</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2227</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2296</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2228</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2296</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2229</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2296</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2230</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2296</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2231</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2296</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2232</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2296</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2233</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2296</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2235</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2296</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2236</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2296</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2237</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2296</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2238</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2296</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2239</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2296</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2240</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2241</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2296</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2242</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2296</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2243</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2296</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2244</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2296</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2245</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2296</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2246</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2296</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2247</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2296</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2248</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2296</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2249</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2296</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2250</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2296</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2251</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2296</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2252</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2296</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2253</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2296</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2254</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2296</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2255</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2296</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2256</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2296</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2257</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2296</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2258</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2296</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2259</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2296</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2260</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2296</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2261</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2296</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2262</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2296</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2263</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2296</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2264</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2296</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2265</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2296</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2266</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2296</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2267</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2296</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2268</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2296</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2269</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2270</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2273</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2296</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2274</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2296</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2277</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2296</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2278</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2296</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2279</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2296</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2280</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2296</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2281</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2296</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2282</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2296</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2284</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2286</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2288</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2289</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2290</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3" width="54.71"/>
    <col collapsed="false" customWidth="true" hidden="false" outlineLevel="1" max="13" min="2" style="3" width="11.29"/>
    <col collapsed="false" customWidth="true" hidden="false" outlineLevel="0" max="14" min="14" style="3" width="14.29"/>
    <col collapsed="false" customWidth="true" hidden="false" outlineLevel="0" max="15" min="15" style="3" width="12.71"/>
    <col collapsed="false" customWidth="true" hidden="false" outlineLevel="0" max="17" min="16" style="3" width="7.57"/>
    <col collapsed="false" customWidth="true" hidden="false" outlineLevel="0" max="18" min="18" style="3" width="15"/>
    <col collapsed="false" customWidth="true" hidden="false" outlineLevel="0" max="19" min="19" style="3" width="13.71"/>
    <col collapsed="false" customWidth="true" hidden="false" outlineLevel="0" max="20" min="20" style="3" width="12.71"/>
    <col collapsed="false" customWidth="true" hidden="false" outlineLevel="1" max="32" min="21" style="3" width="11.29"/>
    <col collapsed="false" customWidth="true" hidden="false" outlineLevel="0" max="33" min="33" style="3" width="14.29"/>
    <col collapsed="false" customWidth="true" hidden="false" outlineLevel="0" max="34" min="34" style="3" width="12.71"/>
    <col collapsed="false" customWidth="true" hidden="false" outlineLevel="0" max="35" min="35" style="3" width="7.43"/>
    <col collapsed="false" customWidth="true" hidden="false" outlineLevel="0" max="36" min="36" style="3" width="13.15"/>
  </cols>
  <sheetData>
    <row r="1" customFormat="false" ht="13.5" hidden="false" customHeight="true" outlineLevel="0" collapsed="false">
      <c r="A1" s="54" t="s">
        <v>2298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2143</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57"/>
      <c r="S7" s="58" t="s">
        <v>2292</v>
      </c>
      <c r="T7" s="58" t="s">
        <v>2147</v>
      </c>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t="s">
        <v>2299</v>
      </c>
      <c r="AJ7" s="17" t="s">
        <v>2147</v>
      </c>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57" t="s">
        <v>2293</v>
      </c>
      <c r="S8" s="58" t="s">
        <v>2294</v>
      </c>
      <c r="T8" s="58" t="s">
        <v>2295</v>
      </c>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2167</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2297</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2300</v>
      </c>
      <c r="AJ12" s="12" t="n">
        <f aca="false">AG12-N12</f>
        <v>9200567.13833333</v>
      </c>
    </row>
    <row r="13" customFormat="false" ht="13.5" hidden="false" customHeight="true" outlineLevel="0" collapsed="false">
      <c r="A13" s="23" t="s">
        <v>2168</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2296</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2169</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2170</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2296</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2171</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8139705.99833333</v>
      </c>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2174</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2297</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2301</v>
      </c>
      <c r="AJ19" s="12" t="n">
        <f aca="false">N19-AG19</f>
        <v>138754.41</v>
      </c>
    </row>
    <row r="20" customFormat="false" ht="13.5" hidden="false" customHeight="true" outlineLevel="0" collapsed="false">
      <c r="A20" s="23" t="s">
        <v>2175</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2297</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s">
        <v>2302</v>
      </c>
      <c r="AJ20" s="12" t="n">
        <f aca="false">N20-AG20</f>
        <v>-1227126.49460909</v>
      </c>
    </row>
    <row r="21" customFormat="false" ht="13.5" hidden="false" customHeight="true" outlineLevel="0" collapsed="false">
      <c r="A21" s="23" t="s">
        <v>2176</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2297</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s">
        <v>2303</v>
      </c>
      <c r="AJ21" s="12" t="n">
        <f aca="false">N21-AG21</f>
        <v>-407031.925476787</v>
      </c>
    </row>
    <row r="22" customFormat="false" ht="13.5" hidden="false" customHeight="true" outlineLevel="0" collapsed="false">
      <c r="A22" s="23" t="s">
        <v>2177</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2297</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2304</v>
      </c>
      <c r="AJ22" s="12" t="n">
        <f aca="false">N22-AG22</f>
        <v>-139724.307619048</v>
      </c>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2178</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2296</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2179</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2296</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2180</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2296</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2181</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2182</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2296</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2305</v>
      </c>
      <c r="AJ28" s="12" t="n">
        <f aca="false">N28-AG28</f>
        <v>-44218.8766666667</v>
      </c>
    </row>
    <row r="29" customFormat="false" ht="13.5" hidden="false" customHeight="true" outlineLevel="0" collapsed="false">
      <c r="A29" s="23" t="s">
        <v>2183</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2296</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2306</v>
      </c>
      <c r="AJ29" s="12" t="n">
        <f aca="false">N29-AG29</f>
        <v>25356.1</v>
      </c>
    </row>
    <row r="30" customFormat="false" ht="13.5" hidden="false" customHeight="true" outlineLevel="0" collapsed="false">
      <c r="A30" s="23" t="s">
        <v>2184</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2296</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2185</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2296</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2187</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Schedule'!$B$131)*(43450-'HC-PO'!M20)+'Depreciation Schedule'!F226</f>
        <v>0</v>
      </c>
      <c r="V33" s="67" t="n">
        <f aca="false">(1-'Depreciation Schedule'!$B$131)*(43450-'HC-PO'!N20)+'Depreciation Schedule'!G226</f>
        <v>0</v>
      </c>
      <c r="W33" s="67" t="n">
        <f aca="false">(1-'Depreciation Schedule'!$B$131)*(43450-'HC-PO'!O20)+'Depreciation Schedule'!H226</f>
        <v>0</v>
      </c>
      <c r="X33" s="67" t="n">
        <f aca="false">(1-'Depreciation Schedule'!$B$131)*(43450-'HC-PO'!P20)+'Depreciation Schedule'!I226</f>
        <v>0</v>
      </c>
      <c r="Y33" s="67" t="n">
        <f aca="false">(1-'Depreciation Schedule'!$B$131)*(43450-'HC-PO'!Q20)+'Depreciation Schedule'!J226</f>
        <v>0</v>
      </c>
      <c r="Z33" s="67" t="n">
        <f aca="false">(1-'Depreciation Schedule'!$B$131)*(43450-'HC-PO'!R20)+'Depreciation Schedule'!K226</f>
        <v>0</v>
      </c>
      <c r="AA33" s="67" t="n">
        <f aca="false">(1-'Depreciation Schedule'!$B$131)*(43450-'HC-PO'!S20)+'Depreciation Schedule'!L226</f>
        <v>0</v>
      </c>
      <c r="AB33" s="67" t="n">
        <f aca="false">(1-'Depreciation Schedule'!$B$131)*(43450-'HC-PO'!T20)+'Depreciation Schedule'!M226</f>
        <v>0</v>
      </c>
      <c r="AC33" s="67" t="n">
        <f aca="false">(1-'Depreciation Schedule'!$B$131)*(43450-'HC-PO'!U20)+'Depreciation Schedule'!N226</f>
        <v>0</v>
      </c>
      <c r="AD33" s="67" t="n">
        <f aca="false">(1-'Depreciation Schedule'!$B$131)*(44753.5-'HC-PO'!V20)+'Depreciation Schedule'!O226</f>
        <v>0</v>
      </c>
      <c r="AE33" s="67" t="n">
        <f aca="false">(1-'Depreciation Schedule'!$B$131)*(44753.5-'HC-PO'!W20)+'Depreciation Schedule'!P226</f>
        <v>0</v>
      </c>
      <c r="AF33" s="67" t="n">
        <f aca="false">(1-'Depreciation Schedule'!$B$131)*(44753.5-'HC-PO'!X20)+'Depreciation Schedule'!Q226</f>
        <v>0</v>
      </c>
      <c r="AG33" s="12" t="n">
        <f aca="false">SUM(U33:AF33)</f>
        <v>0</v>
      </c>
      <c r="AH33" s="24" t="n">
        <f aca="false">IFERROR(AG33/AG$16,"")</f>
        <v>0</v>
      </c>
      <c r="AI33" s="9" t="s">
        <v>2307</v>
      </c>
      <c r="AJ33" s="12" t="n">
        <f aca="false">N33-AG33</f>
        <v>137080.38</v>
      </c>
    </row>
    <row r="34" customFormat="false" ht="13.5" hidden="false" customHeight="true" outlineLevel="0" collapsed="false">
      <c r="A34" s="23" t="s">
        <v>2188</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Schedule'!$B$131)*(1580.22856962794-'HC-PO'!M20*'HC-PO'!$D$6)+'Depreciation Schedule'!F227</f>
        <v>0</v>
      </c>
      <c r="V34" s="67" t="n">
        <f aca="false">(1-'Depreciation Schedule'!$B$131)*(1580.22856962794-'HC-PO'!N20*'HC-PO'!$D$6)+'Depreciation Schedule'!G227</f>
        <v>0</v>
      </c>
      <c r="W34" s="67" t="n">
        <f aca="false">(1-'Depreciation Schedule'!$B$131)*(1580.22856962794-'HC-PO'!O20*'HC-PO'!$D$6)+'Depreciation Schedule'!H227</f>
        <v>0</v>
      </c>
      <c r="X34" s="67" t="n">
        <f aca="false">(1-'Depreciation Schedule'!$B$131)*(1580.22856962794-'HC-PO'!P20*'HC-PO'!$D$6)+'Depreciation Schedule'!I227</f>
        <v>0</v>
      </c>
      <c r="Y34" s="67" t="n">
        <f aca="false">(1-'Depreciation Schedule'!$B$131)*(1580.22856962794-'HC-PO'!Q20*'HC-PO'!$D$6)+'Depreciation Schedule'!J227</f>
        <v>0</v>
      </c>
      <c r="Z34" s="67" t="n">
        <f aca="false">(1-'Depreciation Schedule'!$B$131)*(1580.22856962794-'HC-PO'!R20*'HC-PO'!$D$6)+'Depreciation Schedule'!K227</f>
        <v>0</v>
      </c>
      <c r="AA34" s="67" t="n">
        <f aca="false">(1-'Depreciation Schedule'!$B$131)*(1580.22856962794-'HC-PO'!S20*'HC-PO'!$D$6)+'Depreciation Schedule'!L227</f>
        <v>0</v>
      </c>
      <c r="AB34" s="67" t="n">
        <f aca="false">(1-'Depreciation Schedule'!$B$131)*(1580.22856962794-'HC-PO'!T20*'HC-PO'!$D$6)+'Depreciation Schedule'!M227</f>
        <v>0</v>
      </c>
      <c r="AC34" s="67" t="n">
        <f aca="false">(1-'Depreciation Schedule'!$B$131)*(1580.22856962794-'HC-PO'!U20*'HC-PO'!$D$6)+'Depreciation Schedule'!N227</f>
        <v>0</v>
      </c>
      <c r="AD34" s="67" t="n">
        <f aca="false">(1-'Depreciation Schedule'!$B$131)*(1627.63542671678-'HC-PO'!V20*'HC-PO'!$D$6)+'Depreciation Schedule'!O227</f>
        <v>0</v>
      </c>
      <c r="AE34" s="67" t="n">
        <f aca="false">(1-'Depreciation Schedule'!$B$131)*(1627.63542671678-'HC-PO'!W20*'HC-PO'!$D$6)+'Depreciation Schedule'!P227</f>
        <v>0</v>
      </c>
      <c r="AF34" s="67" t="n">
        <f aca="false">(1-'Depreciation Schedule'!$B$131)*(1627.63542671678-'HC-PO'!X20*'HC-PO'!$D$6)+'Depreciation Schedule'!Q227</f>
        <v>0</v>
      </c>
      <c r="AG34" s="12" t="n">
        <f aca="false">SUM(U34:AF34)</f>
        <v>0</v>
      </c>
      <c r="AH34" s="24" t="n">
        <f aca="false">IFERROR(AG34/AG$16,"")</f>
        <v>0</v>
      </c>
      <c r="AI34" s="9" t="s">
        <v>2308</v>
      </c>
      <c r="AJ34" s="12" t="n">
        <f aca="false">N34-AG34</f>
        <v>5971.71</v>
      </c>
    </row>
    <row r="35" customFormat="false" ht="13.5" hidden="false" customHeight="true" outlineLevel="0" collapsed="false">
      <c r="A35" s="23" t="s">
        <v>2189</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Schedule'!$B$131)*(8966.45875099473-'HC-PO'!M20*'HC-PO'!$D$7)+'Depreciation Schedule'!F228</f>
        <v>0</v>
      </c>
      <c r="V35" s="67" t="n">
        <f aca="false">(1-'Depreciation Schedule'!$B$131)*(8966.45875099473-'HC-PO'!N20*'HC-PO'!$D$7)+'Depreciation Schedule'!G228</f>
        <v>0</v>
      </c>
      <c r="W35" s="67" t="n">
        <f aca="false">(1-'Depreciation Schedule'!$B$131)*(8966.45875099473-'HC-PO'!O20*'HC-PO'!$D$7)+'Depreciation Schedule'!H228</f>
        <v>0</v>
      </c>
      <c r="X35" s="67" t="n">
        <f aca="false">(1-'Depreciation Schedule'!$B$131)*(8966.45875099473-'HC-PO'!P20*'HC-PO'!$D$7)+'Depreciation Schedule'!I228</f>
        <v>0</v>
      </c>
      <c r="Y35" s="67" t="n">
        <f aca="false">(1-'Depreciation Schedule'!$B$131)*(8966.45875099473-'HC-PO'!Q20*'HC-PO'!$D$7)+'Depreciation Schedule'!J228</f>
        <v>0</v>
      </c>
      <c r="Z35" s="67" t="n">
        <f aca="false">(1-'Depreciation Schedule'!$B$131)*(8966.45875099473-'HC-PO'!R20*'HC-PO'!$D$7)+'Depreciation Schedule'!K228</f>
        <v>0</v>
      </c>
      <c r="AA35" s="67" t="n">
        <f aca="false">(1-'Depreciation Schedule'!$B$131)*(8966.45875099473-'HC-PO'!S20*'HC-PO'!$D$7)+'Depreciation Schedule'!L228</f>
        <v>0</v>
      </c>
      <c r="AB35" s="67" t="n">
        <f aca="false">(1-'Depreciation Schedule'!$B$131)*(8966.45875099473-'HC-PO'!T20*'HC-PO'!$D$7)+'Depreciation Schedule'!M228</f>
        <v>0</v>
      </c>
      <c r="AC35" s="67" t="n">
        <f aca="false">(1-'Depreciation Schedule'!$B$131)*(8966.45875099473-'HC-PO'!U20*'HC-PO'!$D$7)+'Depreciation Schedule'!N228</f>
        <v>0</v>
      </c>
      <c r="AD35" s="67" t="n">
        <f aca="false">(1-'Depreciation Schedule'!$B$131)*(9235.45251352458-'HC-PO'!V20*'HC-PO'!$D$7)+'Depreciation Schedule'!O228</f>
        <v>0</v>
      </c>
      <c r="AE35" s="67" t="n">
        <f aca="false">(1-'Depreciation Schedule'!$B$131)*(9235.45251352458-'HC-PO'!W20*'HC-PO'!$D$7)+'Depreciation Schedule'!P228</f>
        <v>0</v>
      </c>
      <c r="AF35" s="67" t="n">
        <f aca="false">(1-'Depreciation Schedule'!$B$131)*(9235.45251352458-'HC-PO'!X20*'HC-PO'!$D$7)+'Depreciation Schedule'!Q228</f>
        <v>0</v>
      </c>
      <c r="AG35" s="12" t="n">
        <f aca="false">SUM(U35:AF35)</f>
        <v>0</v>
      </c>
      <c r="AH35" s="24" t="n">
        <f aca="false">IFERROR(AG35/AG$16,"")</f>
        <v>0</v>
      </c>
      <c r="AI35" s="9" t="s">
        <v>2309</v>
      </c>
      <c r="AJ35" s="12" t="n">
        <f aca="false">N35-AG35</f>
        <v>54271.24</v>
      </c>
    </row>
    <row r="36" customFormat="false" ht="13.5" hidden="false" customHeight="true" outlineLevel="0" collapsed="false">
      <c r="A36" s="26" t="s">
        <v>2190</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2191</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2192</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2296</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2310</v>
      </c>
      <c r="AJ38" s="12" t="n">
        <f aca="false">N38-AG38</f>
        <v>-98411.25</v>
      </c>
    </row>
    <row r="39" customFormat="false" ht="13.5" hidden="false" customHeight="true" outlineLevel="0" collapsed="false">
      <c r="A39" s="23" t="s">
        <v>2193</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2311</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2194</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2311</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2195</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2311</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2196</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2296</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2198</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2296</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2199</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2296</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2200</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2296</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2201</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2296</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2202</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2296</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2203</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2296</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2204</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2296</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2206</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2207</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2208</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2209</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2210</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2212</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2296</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2213</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2296</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2214</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2296</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2215</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2216</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2296</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2217</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82</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2218</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2219</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2220</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2221</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2222</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2223</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2296</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2224</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2296</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2225</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2296</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2226</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2227</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2296</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2228</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2296</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2229</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2296</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2230</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2296</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2231</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2296</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2232</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2296</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2233</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2296</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2235</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2296</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2236</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2296</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2237</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2296</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2238</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2296</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2239</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2296</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2240</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2241</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2296</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2242</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2296</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2243</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2296</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2244</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2296</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2245</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2296</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2312</v>
      </c>
      <c r="AJ92" s="12" t="n">
        <f aca="false">N92-AG92</f>
        <v>20411.58</v>
      </c>
    </row>
    <row r="93" customFormat="false" ht="13.5" hidden="false" customHeight="true" outlineLevel="0" collapsed="false">
      <c r="A93" s="23" t="s">
        <v>2246</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2296</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2313</v>
      </c>
      <c r="AJ93" s="12" t="n">
        <f aca="false">N93-AG93</f>
        <v>-5220</v>
      </c>
    </row>
    <row r="94" customFormat="false" ht="13.5" hidden="false" customHeight="true" outlineLevel="0" collapsed="false">
      <c r="A94" s="23" t="s">
        <v>2247</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2296</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2248</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2296</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2249</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2296</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2250</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2296</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2251</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2296</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2314</v>
      </c>
      <c r="AJ98" s="12" t="n">
        <f aca="false">N98-AG98</f>
        <v>636000</v>
      </c>
    </row>
    <row r="99" customFormat="false" ht="13.5" hidden="false" customHeight="true" outlineLevel="0" collapsed="false">
      <c r="A99" s="23" t="s">
        <v>2252</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2296</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2253</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2296</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2254</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2296</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2315</v>
      </c>
      <c r="AJ101" s="12" t="n">
        <f aca="false">N101-AG101</f>
        <v>-25350.38</v>
      </c>
    </row>
    <row r="102" customFormat="false" ht="13.5" hidden="false" customHeight="true" outlineLevel="0" collapsed="false">
      <c r="A102" s="23" t="s">
        <v>2255</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2296</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2256</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2296</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2257</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2296</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2258</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2296</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2259</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2296</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2260</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2296</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2316</v>
      </c>
      <c r="AJ107" s="12" t="n">
        <f aca="false">N107-AG107</f>
        <v>-4627.21</v>
      </c>
    </row>
    <row r="108" customFormat="false" ht="13.5" hidden="false" customHeight="true" outlineLevel="0" collapsed="false">
      <c r="A108" s="23" t="s">
        <v>2261</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2296</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2262</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2296</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2263</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2296</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2264</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2296</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2265</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2296</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2266</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2296</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2267</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2296</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2268</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2296</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2269</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2270</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523490.425934524</v>
      </c>
      <c r="V117" s="27" t="n">
        <f aca="false">V64-V116</f>
        <v>588797.985458333</v>
      </c>
      <c r="W117" s="27" t="n">
        <f aca="false">W64-W116</f>
        <v>574623.402125</v>
      </c>
      <c r="X117" s="27" t="n">
        <f aca="false">X64-X116</f>
        <v>646675.533029923</v>
      </c>
      <c r="Y117" s="27" t="n">
        <f aca="false">Y64-Y116</f>
        <v>713888.67639769</v>
      </c>
      <c r="Z117" s="27" t="n">
        <f aca="false">Z64-Z116</f>
        <v>811571.760241643</v>
      </c>
      <c r="AA117" s="27" t="n">
        <f aca="false">AA64-AA116</f>
        <v>904698.041111365</v>
      </c>
      <c r="AB117" s="27" t="n">
        <f aca="false">AB64-AB116</f>
        <v>1026204.95949024</v>
      </c>
      <c r="AC117" s="27" t="n">
        <f aca="false">AC64-AC116</f>
        <v>1174107.46079189</v>
      </c>
      <c r="AD117" s="27" t="n">
        <f aca="false">AD64-AD116</f>
        <v>1326282.71097506</v>
      </c>
      <c r="AE117" s="27" t="n">
        <f aca="false">AE64-AE116</f>
        <v>1511196.07389583</v>
      </c>
      <c r="AF117" s="27" t="n">
        <f aca="false">AF64-AF116</f>
        <v>1723157.96858167</v>
      </c>
      <c r="AG117" s="27" t="n">
        <f aca="false">SUM(U117:AF117)</f>
        <v>11524694.9980332</v>
      </c>
      <c r="AH117" s="28" t="n">
        <f aca="false">IFERROR(AG117/AG$16,"")</f>
        <v>0.740488143807921</v>
      </c>
      <c r="AI117" s="9"/>
      <c r="AJ117" s="27" t="n">
        <f aca="false">AG117-N117</f>
        <v>6923796.85946174</v>
      </c>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2273</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2296</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2274</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2296</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2277</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2296</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2278</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2296</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2279</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2296</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2280</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2296</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2281</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2296</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2282</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2296</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2284</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523490.425934524</v>
      </c>
      <c r="V132" s="71" t="n">
        <f aca="false">V117+V131</f>
        <v>588797.985458333</v>
      </c>
      <c r="W132" s="71" t="n">
        <f aca="false">W117+W131</f>
        <v>574623.402125</v>
      </c>
      <c r="X132" s="71" t="n">
        <f aca="false">X117+X131</f>
        <v>646675.533029923</v>
      </c>
      <c r="Y132" s="71" t="n">
        <f aca="false">Y117+Y131</f>
        <v>713888.67639769</v>
      </c>
      <c r="Z132" s="71" t="n">
        <f aca="false">Z117+Z131</f>
        <v>811571.760241643</v>
      </c>
      <c r="AA132" s="71" t="n">
        <f aca="false">AA117+AA131</f>
        <v>904698.041111365</v>
      </c>
      <c r="AB132" s="71" t="n">
        <f aca="false">AB117+AB131</f>
        <v>1026204.95949024</v>
      </c>
      <c r="AC132" s="71" t="n">
        <f aca="false">AC117+AC131</f>
        <v>1174107.46079189</v>
      </c>
      <c r="AD132" s="71" t="n">
        <f aca="false">AD117+AD131</f>
        <v>1326282.71097506</v>
      </c>
      <c r="AE132" s="71" t="n">
        <f aca="false">AE117+AE131</f>
        <v>1511196.07389583</v>
      </c>
      <c r="AF132" s="71" t="n">
        <f aca="false">AF117+AF131</f>
        <v>1723157.96858167</v>
      </c>
      <c r="AG132" s="71" t="n">
        <f aca="false">SUM(U132:AF132)</f>
        <v>11524694.9980332</v>
      </c>
      <c r="AH132" s="72" t="n">
        <f aca="false">IFERROR(AG132/AG$16,"")</f>
        <v>0.740488143807921</v>
      </c>
      <c r="AI132" s="9"/>
      <c r="AJ132" s="71" t="n">
        <f aca="false">AG132-N132</f>
        <v>6838985.53946174</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2286</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0</v>
      </c>
      <c r="V137" s="12" t="n">
        <f aca="false">SUMIF($A$9:$A$132,"*"&amp;$A137&amp;"*",V$9:V$132)</f>
        <v>0</v>
      </c>
      <c r="W137" s="12" t="n">
        <f aca="false">SUMIF($A$9:$A$132,"*"&amp;$A137&amp;"*",W$9:W$132)</f>
        <v>0</v>
      </c>
      <c r="X137" s="12" t="n">
        <f aca="false">SUMIF($A$9:$A$132,"*"&amp;$A137&amp;"*",X$9:X$132)</f>
        <v>0</v>
      </c>
      <c r="Y137" s="12" t="n">
        <f aca="false">SUMIF($A$9:$A$132,"*"&amp;$A137&amp;"*",Y$9:Y$132)</f>
        <v>0</v>
      </c>
      <c r="Z137" s="12" t="n">
        <f aca="false">SUMIF($A$9:$A$132,"*"&amp;$A137&amp;"*",Z$9:Z$132)</f>
        <v>0</v>
      </c>
      <c r="AA137" s="12" t="n">
        <f aca="false">SUMIF($A$9:$A$132,"*"&amp;$A137&amp;"*",AA$9:AA$132)</f>
        <v>0</v>
      </c>
      <c r="AB137" s="12" t="n">
        <f aca="false">SUMIF($A$9:$A$132,"*"&amp;$A137&amp;"*",AB$9:AB$132)</f>
        <v>0</v>
      </c>
      <c r="AC137" s="12" t="n">
        <f aca="false">SUMIF($A$9:$A$132,"*"&amp;$A137&amp;"*",AC$9:AC$132)</f>
        <v>0</v>
      </c>
      <c r="AD137" s="12" t="n">
        <f aca="false">SUMIF($A$9:$A$132,"*"&amp;$A137&amp;"*",AD$9:AD$132)</f>
        <v>0</v>
      </c>
      <c r="AE137" s="12" t="n">
        <f aca="false">SUMIF($A$9:$A$132,"*"&amp;$A137&amp;"*",AE$9:AE$132)</f>
        <v>0</v>
      </c>
      <c r="AF137" s="12" t="n">
        <f aca="false">SUMIF($A$9:$A$132,"*"&amp;$A137&amp;"*",AF$9:AF$132)</f>
        <v>0</v>
      </c>
      <c r="AG137" s="12" t="n">
        <f aca="false">SUMIF($A$9:$A$132,"*"&amp;$A137&amp;"*",AG$9:AG$132)</f>
        <v>0</v>
      </c>
      <c r="AH137" s="24"/>
      <c r="AI137" s="9"/>
      <c r="AJ137" s="12"/>
    </row>
    <row r="138" customFormat="false" ht="13.5" hidden="false" customHeight="true" outlineLevel="0" collapsed="false">
      <c r="A138" s="23"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2288</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0</v>
      </c>
      <c r="V139" s="12" t="n">
        <f aca="false">SUMIF($A$9:$A$132,"*"&amp;$A139&amp;"*",V$9:V$132)</f>
        <v>0</v>
      </c>
      <c r="W139" s="12" t="n">
        <f aca="false">SUMIF($A$9:$A$132,"*"&amp;$A139&amp;"*",W$9:W$132)</f>
        <v>0</v>
      </c>
      <c r="X139" s="12" t="n">
        <f aca="false">SUMIF($A$9:$A$132,"*"&amp;$A139&amp;"*",X$9:X$132)</f>
        <v>0</v>
      </c>
      <c r="Y139" s="12" t="n">
        <f aca="false">SUMIF($A$9:$A$132,"*"&amp;$A139&amp;"*",Y$9:Y$132)</f>
        <v>0</v>
      </c>
      <c r="Z139" s="12" t="n">
        <f aca="false">SUMIF($A$9:$A$132,"*"&amp;$A139&amp;"*",Z$9:Z$132)</f>
        <v>0</v>
      </c>
      <c r="AA139" s="12" t="n">
        <f aca="false">SUMIF($A$9:$A$132,"*"&amp;$A139&amp;"*",AA$9:AA$132)</f>
        <v>0</v>
      </c>
      <c r="AB139" s="12" t="n">
        <f aca="false">SUMIF($A$9:$A$132,"*"&amp;$A139&amp;"*",AB$9:AB$132)</f>
        <v>0</v>
      </c>
      <c r="AC139" s="12" t="n">
        <f aca="false">SUMIF($A$9:$A$132,"*"&amp;$A139&amp;"*",AC$9:AC$132)</f>
        <v>0</v>
      </c>
      <c r="AD139" s="12" t="n">
        <f aca="false">SUMIF($A$9:$A$132,"*"&amp;$A139&amp;"*",AD$9:AD$132)</f>
        <v>0</v>
      </c>
      <c r="AE139" s="12" t="n">
        <f aca="false">SUMIF($A$9:$A$132,"*"&amp;$A139&amp;"*",AE$9:AE$132)</f>
        <v>0</v>
      </c>
      <c r="AF139" s="12" t="n">
        <f aca="false">SUMIF($A$9:$A$132,"*"&amp;$A139&amp;"*",AF$9:AF$132)</f>
        <v>0</v>
      </c>
      <c r="AG139" s="12" t="n">
        <f aca="false">SUMIF($A$9:$A$132,"*"&amp;$A139&amp;"*",AG$9:AG$132)</f>
        <v>0</v>
      </c>
      <c r="AH139" s="12"/>
      <c r="AI139" s="9"/>
      <c r="AJ139" s="12"/>
    </row>
    <row r="140" customFormat="false" ht="13.5" hidden="false" customHeight="true" outlineLevel="0" collapsed="false">
      <c r="A140" s="23" t="s">
        <v>2289</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0</v>
      </c>
      <c r="V140" s="12" t="n">
        <f aca="false">SUMIF($A$9:$A$132,"*"&amp;$A140&amp;"*",V$9:V$132)</f>
        <v>0</v>
      </c>
      <c r="W140" s="12" t="n">
        <f aca="false">SUMIF($A$9:$A$132,"*"&amp;$A140&amp;"*",W$9:W$132)</f>
        <v>0</v>
      </c>
      <c r="X140" s="12" t="n">
        <f aca="false">SUMIF($A$9:$A$132,"*"&amp;$A140&amp;"*",X$9:X$132)</f>
        <v>0</v>
      </c>
      <c r="Y140" s="12" t="n">
        <f aca="false">SUMIF($A$9:$A$132,"*"&amp;$A140&amp;"*",Y$9:Y$132)</f>
        <v>0</v>
      </c>
      <c r="Z140" s="12" t="n">
        <f aca="false">SUMIF($A$9:$A$132,"*"&amp;$A140&amp;"*",Z$9:Z$132)</f>
        <v>0</v>
      </c>
      <c r="AA140" s="12" t="n">
        <f aca="false">SUMIF($A$9:$A$132,"*"&amp;$A140&amp;"*",AA$9:AA$132)</f>
        <v>0</v>
      </c>
      <c r="AB140" s="12" t="n">
        <f aca="false">SUMIF($A$9:$A$132,"*"&amp;$A140&amp;"*",AB$9:AB$132)</f>
        <v>0</v>
      </c>
      <c r="AC140" s="12" t="n">
        <f aca="false">SUMIF($A$9:$A$132,"*"&amp;$A140&amp;"*",AC$9:AC$132)</f>
        <v>0</v>
      </c>
      <c r="AD140" s="12" t="n">
        <f aca="false">SUMIF($A$9:$A$132,"*"&amp;$A140&amp;"*",AD$9:AD$132)</f>
        <v>0</v>
      </c>
      <c r="AE140" s="12" t="n">
        <f aca="false">SUMIF($A$9:$A$132,"*"&amp;$A140&amp;"*",AE$9:AE$132)</f>
        <v>0</v>
      </c>
      <c r="AF140" s="12" t="n">
        <f aca="false">SUMIF($A$9:$A$132,"*"&amp;$A140&amp;"*",AF$9:AF$132)</f>
        <v>0</v>
      </c>
      <c r="AG140" s="12" t="n">
        <f aca="false">SUMIF($A$9:$A$132,"*"&amp;$A140&amp;"*",AG$9:AG$132)</f>
        <v>0</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2290</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str">
        <f aca="false">IFERROR(SUM(U139:U140)/SUM(U137:U138),"")</f>
        <v/>
      </c>
      <c r="V142" s="24" t="str">
        <f aca="false">IFERROR(SUM(V139:V140)/SUM(V137:V138),"")</f>
        <v/>
      </c>
      <c r="W142" s="24" t="str">
        <f aca="false">IFERROR(SUM(W139:W140)/SUM(W137:W138),"")</f>
        <v/>
      </c>
      <c r="X142" s="24" t="str">
        <f aca="false">IFERROR(SUM(X139:X140)/SUM(X137:X138),"")</f>
        <v/>
      </c>
      <c r="Y142" s="24" t="str">
        <f aca="false">IFERROR(SUM(Y139:Y140)/SUM(Y137:Y138),"")</f>
        <v/>
      </c>
      <c r="Z142" s="24" t="str">
        <f aca="false">IFERROR(SUM(Z139:Z140)/SUM(Z137:Z138),"")</f>
        <v/>
      </c>
      <c r="AA142" s="24" t="str">
        <f aca="false">IFERROR(SUM(AA139:AA140)/SUM(AA137:AA138),"")</f>
        <v/>
      </c>
      <c r="AB142" s="24" t="str">
        <f aca="false">IFERROR(SUM(AB139:AB140)/SUM(AB137:AB138),"")</f>
        <v/>
      </c>
      <c r="AC142" s="24" t="str">
        <f aca="false">IFERROR(SUM(AC139:AC140)/SUM(AC137:AC138),"")</f>
        <v/>
      </c>
      <c r="AD142" s="24" t="str">
        <f aca="false">IFERROR(SUM(AD139:AD140)/SUM(AD137:AD138),"")</f>
        <v/>
      </c>
      <c r="AE142" s="24" t="str">
        <f aca="false">IFERROR(SUM(AE139:AE140)/SUM(AE137:AE138),"")</f>
        <v/>
      </c>
      <c r="AF142" s="24" t="str">
        <f aca="false">IFERROR(SUM(AF139:AF140)/SUM(AF137:AF138),"")</f>
        <v/>
      </c>
      <c r="AG142" s="24" t="str">
        <f aca="false">IFERROR(SUM(AG139:AG140)/SUM(AG137:AG138),"")</f>
        <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2317</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3" width="54.71"/>
    <col collapsed="false" customWidth="true" hidden="false" outlineLevel="1" max="13" min="2" style="3" width="11.29"/>
    <col collapsed="false" customWidth="true" hidden="false" outlineLevel="0" max="14" min="14" style="3" width="14.29"/>
    <col collapsed="false" customWidth="true" hidden="false" outlineLevel="0" max="15" min="15" style="3" width="12.71"/>
    <col collapsed="false" customWidth="true" hidden="false" outlineLevel="0" max="17" min="16" style="3" width="7.57"/>
    <col collapsed="false" customWidth="true" hidden="false" outlineLevel="0" max="18" min="18" style="3" width="15"/>
    <col collapsed="false" customWidth="true" hidden="false" outlineLevel="0" max="19" min="19" style="3" width="13.71"/>
    <col collapsed="false" customWidth="true" hidden="false" outlineLevel="0" max="20" min="20" style="3" width="12.71"/>
    <col collapsed="false" customWidth="true" hidden="false" outlineLevel="1" max="32" min="21" style="3" width="11.29"/>
    <col collapsed="false" customWidth="true" hidden="false" outlineLevel="0" max="33" min="33" style="3" width="14.29"/>
    <col collapsed="false" customWidth="true" hidden="false" outlineLevel="0" max="34" min="34" style="3" width="12.71"/>
    <col collapsed="false" customWidth="true" hidden="false" outlineLevel="0" max="35" min="35" style="3" width="7.43"/>
    <col collapsed="false" customWidth="true" hidden="false" outlineLevel="0" max="36" min="36" style="3" width="13.15"/>
  </cols>
  <sheetData>
    <row r="1" customFormat="false" ht="13.5" hidden="false" customHeight="true" outlineLevel="0" collapsed="false">
      <c r="A1" s="54" t="s">
        <v>221</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2143</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57"/>
      <c r="S7" s="58" t="s">
        <v>2292</v>
      </c>
      <c r="T7" s="58" t="s">
        <v>2147</v>
      </c>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c r="AJ7" s="17" t="s">
        <v>2147</v>
      </c>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57" t="s">
        <v>2293</v>
      </c>
      <c r="S8" s="58" t="s">
        <v>2294</v>
      </c>
      <c r="T8" s="58" t="s">
        <v>2295</v>
      </c>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2167</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2296</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2168</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2296</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2169</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2170</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2296</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2171</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2174</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2296</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2175</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2296</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2176</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2296</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2177</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2296</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2178</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2296</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2179</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2296</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2180</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2296</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2181</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2182</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2296</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2183</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2296</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2184</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2296</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2185</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2296</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2187</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2188</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2189</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2190</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2191</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2192</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2296</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2193</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2296</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2194</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2296</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2195</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2296</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2196</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2296</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2198</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2296</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2199</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2296</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2200</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2296</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2201</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2296</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2202</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2296</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2203</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2296</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2204</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2296</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2206</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2207</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2208</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2209</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2210</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2212</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2296</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2213</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2296</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2214</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2296</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2215</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2216</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2296</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2217</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82</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2218</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2219</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2220</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f aca="false">'HC-CO'!M67+'Logistics&amp;WH Payroll'!F43-'Logistics&amp;WH Payroll'!F34+'Logistics&amp;WH Payroll'!F46</f>
        <v>65529.8333333333</v>
      </c>
      <c r="V67" s="75" t="n">
        <f aca="false">'HC-CO'!N67+'Logistics&amp;WH Payroll'!G43-'Logistics&amp;WH Payroll'!G34+'Logistics&amp;WH Payroll'!G46</f>
        <v>70529.8333333333</v>
      </c>
      <c r="W67" s="75" t="n">
        <f aca="false">'HC-CO'!O67+'Logistics&amp;WH Payroll'!H43-'Logistics&amp;WH Payroll'!H34+'Logistics&amp;WH Payroll'!H46</f>
        <v>74689.8333333333</v>
      </c>
      <c r="X67" s="75" t="n">
        <f aca="false">'HC-CO'!P67+'Logistics&amp;WH Payroll'!I43-'Logistics&amp;WH Payroll'!I34+'Logistics&amp;WH Payroll'!I46</f>
        <v>73689.8333333333</v>
      </c>
      <c r="Y67" s="75" t="n">
        <f aca="false">'HC-CO'!Q67+'Logistics&amp;WH Payroll'!J43-'Logistics&amp;WH Payroll'!J34+'Logistics&amp;WH Payroll'!J46</f>
        <v>73689.8333333333</v>
      </c>
      <c r="Z67" s="75" t="n">
        <f aca="false">'HC-CO'!R67+'Logistics&amp;WH Payroll'!K43-'Logistics&amp;WH Payroll'!K34+'Logistics&amp;WH Payroll'!K46</f>
        <v>78849.8333333333</v>
      </c>
      <c r="AA67" s="75" t="n">
        <f aca="false">'HC-CO'!S67+'Logistics&amp;WH Payroll'!L43-'Logistics&amp;WH Payroll'!L34+'Logistics&amp;WH Payroll'!L46</f>
        <v>88343.1666666667</v>
      </c>
      <c r="AB67" s="75" t="n">
        <f aca="false">'HC-CO'!T67+'Logistics&amp;WH Payroll'!M43-'Logistics&amp;WH Payroll'!M34+'Logistics&amp;WH Payroll'!M46</f>
        <v>86343.1666666667</v>
      </c>
      <c r="AC67" s="75" t="n">
        <f aca="false">'HC-CO'!U67+'Logistics&amp;WH Payroll'!N43-'Logistics&amp;WH Payroll'!N34+'Logistics&amp;WH Payroll'!N46</f>
        <v>86343.1666666667</v>
      </c>
      <c r="AD67" s="75" t="n">
        <f aca="false">'HC-CO'!V67+'Logistics&amp;WH Payroll'!O43-'Logistics&amp;WH Payroll'!O34+'Logistics&amp;WH Payroll'!O46</f>
        <v>88553.8616666667</v>
      </c>
      <c r="AE67" s="75" t="n">
        <f aca="false">'HC-CO'!W67+'Logistics&amp;WH Payroll'!P43-'Logistics&amp;WH Payroll'!P34+'Logistics&amp;WH Payroll'!P46</f>
        <v>88553.8616666667</v>
      </c>
      <c r="AF67" s="75" t="n">
        <f aca="false">'HC-CO'!X67+'Logistics&amp;WH Payroll'!Q43-'Logistics&amp;WH Payroll'!Q34+'Logistics&amp;WH Payroll'!Q46</f>
        <v>88553.8616666667</v>
      </c>
      <c r="AG67" s="12" t="n">
        <f aca="false">SUM(U67:AF67)</f>
        <v>963670.085</v>
      </c>
      <c r="AH67" s="24" t="str">
        <f aca="false">IFERROR(AG67/AG$16,"")</f>
        <v/>
      </c>
      <c r="AI67" s="9" t="s">
        <v>2318</v>
      </c>
      <c r="AJ67" s="12" t="n">
        <f aca="false">N67-AG67</f>
        <v>-430583.715</v>
      </c>
    </row>
    <row r="68" customFormat="false" ht="13.5" hidden="false" customHeight="true" outlineLevel="0" collapsed="false">
      <c r="A68" s="23" t="s">
        <v>2221</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f aca="false">'HC-CO'!M68+'Logistics&amp;WH Payroll'!F44-'Logistics&amp;WH Payroll'!F34*'Logistics&amp;WH Payroll'!$B$5</f>
        <v>3621.34989179565</v>
      </c>
      <c r="V68" s="75" t="n">
        <f aca="false">'HC-CO'!N68+'Logistics&amp;WH Payroll'!G44-'Logistics&amp;WH Payroll'!G34*'Logistics&amp;WH Payroll'!$B$5</f>
        <v>3893.34989179565</v>
      </c>
      <c r="W68" s="75" t="n">
        <f aca="false">'HC-CO'!O68+'Logistics&amp;WH Payroll'!H44-'Logistics&amp;WH Payroll'!H34*'Logistics&amp;WH Payroll'!$B$5</f>
        <v>4176.22989179565</v>
      </c>
      <c r="X68" s="75" t="n">
        <f aca="false">'HC-CO'!P68+'Logistics&amp;WH Payroll'!I44-'Logistics&amp;WH Payroll'!I34*'Logistics&amp;WH Payroll'!$B$5</f>
        <v>4176.22989179565</v>
      </c>
      <c r="Y68" s="75" t="n">
        <f aca="false">'HC-CO'!Q68+'Logistics&amp;WH Payroll'!J44-'Logistics&amp;WH Payroll'!J34*'Logistics&amp;WH Payroll'!$B$5</f>
        <v>4176.22989179565</v>
      </c>
      <c r="Z68" s="75" t="n">
        <f aca="false">'HC-CO'!R68+'Logistics&amp;WH Payroll'!K44-'Logistics&amp;WH Payroll'!K34*'Logistics&amp;WH Payroll'!$B$5</f>
        <v>4459.10989179565</v>
      </c>
      <c r="AA68" s="75" t="n">
        <f aca="false">'HC-CO'!S68+'Logistics&amp;WH Payroll'!L44-'Logistics&amp;WH Payroll'!L34*'Logistics&amp;WH Payroll'!$B$5</f>
        <v>5036.65655846232</v>
      </c>
      <c r="AB68" s="75" t="n">
        <f aca="false">'HC-CO'!T68+'Logistics&amp;WH Payroll'!M44-'Logistics&amp;WH Payroll'!M34*'Logistics&amp;WH Payroll'!$B$5</f>
        <v>5036.65655846232</v>
      </c>
      <c r="AC68" s="75" t="n">
        <f aca="false">'HC-CO'!U68+'Logistics&amp;WH Payroll'!N44-'Logistics&amp;WH Payroll'!N34*'Logistics&amp;WH Payroll'!$B$5</f>
        <v>5036.65655846232</v>
      </c>
      <c r="AD68" s="75" t="n">
        <f aca="false">'HC-CO'!V68+'Logistics&amp;WH Payroll'!O44-'Logistics&amp;WH Payroll'!O34*'Logistics&amp;WH Payroll'!$B$5</f>
        <v>5161.94345521619</v>
      </c>
      <c r="AE68" s="75" t="n">
        <f aca="false">'HC-CO'!W68+'Logistics&amp;WH Payroll'!P44-'Logistics&amp;WH Payroll'!P34*'Logistics&amp;WH Payroll'!$B$5</f>
        <v>5161.94345521619</v>
      </c>
      <c r="AF68" s="75" t="n">
        <f aca="false">'HC-CO'!X68+'Logistics&amp;WH Payroll'!Q44-'Logistics&amp;WH Payroll'!Q34*'Logistics&amp;WH Payroll'!$B$5</f>
        <v>5161.94345521619</v>
      </c>
      <c r="AG68" s="12" t="n">
        <f aca="false">SUM(U68:AF68)</f>
        <v>55098.2993918094</v>
      </c>
      <c r="AH68" s="24" t="str">
        <f aca="false">IFERROR(AG68/AG$16,"")</f>
        <v/>
      </c>
      <c r="AI68" s="9" t="s">
        <v>2319</v>
      </c>
      <c r="AJ68" s="12" t="n">
        <f aca="false">N68-AG68</f>
        <v>1276.52060819059</v>
      </c>
    </row>
    <row r="69" customFormat="false" ht="13.5" hidden="false" customHeight="true" outlineLevel="0" collapsed="false">
      <c r="A69" s="23" t="s">
        <v>2222</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f aca="false">'HC-CO'!M69+'Logistics&amp;WH Payroll'!F45-'Logistics&amp;WH Payroll'!F34*'Logistics&amp;WH Payroll'!$B$6</f>
        <v>8370.51982527901</v>
      </c>
      <c r="V69" s="75" t="n">
        <f aca="false">'HC-CO'!N69+'Logistics&amp;WH Payroll'!G45-'Logistics&amp;WH Payroll'!G34*'Logistics&amp;WH Payroll'!$B$6</f>
        <v>9026.51982527901</v>
      </c>
      <c r="W69" s="75" t="n">
        <f aca="false">'HC-CO'!O69+'Logistics&amp;WH Payroll'!H45-'Logistics&amp;WH Payroll'!H34*'Logistics&amp;WH Payroll'!$B$6</f>
        <v>9708.75982527901</v>
      </c>
      <c r="X69" s="75" t="n">
        <f aca="false">'HC-CO'!P69+'Logistics&amp;WH Payroll'!I45-'Logistics&amp;WH Payroll'!I34*'Logistics&amp;WH Payroll'!$B$6</f>
        <v>9708.75982527901</v>
      </c>
      <c r="Y69" s="75" t="n">
        <f aca="false">'HC-CO'!Q69+'Logistics&amp;WH Payroll'!J45-'Logistics&amp;WH Payroll'!J34*'Logistics&amp;WH Payroll'!$B$6</f>
        <v>9708.75982527901</v>
      </c>
      <c r="Z69" s="75" t="n">
        <f aca="false">'HC-CO'!R69+'Logistics&amp;WH Payroll'!K45-'Logistics&amp;WH Payroll'!K34*'Logistics&amp;WH Payroll'!$B$6</f>
        <v>10390.999825279</v>
      </c>
      <c r="AA69" s="75" t="n">
        <f aca="false">'HC-CO'!S69+'Logistics&amp;WH Payroll'!L45-'Logistics&amp;WH Payroll'!L34*'Logistics&amp;WH Payroll'!$B$6</f>
        <v>11783.9064919457</v>
      </c>
      <c r="AB69" s="75" t="n">
        <f aca="false">'HC-CO'!T69+'Logistics&amp;WH Payroll'!M45-'Logistics&amp;WH Payroll'!M34*'Logistics&amp;WH Payroll'!$B$6</f>
        <v>11783.9064919457</v>
      </c>
      <c r="AC69" s="75" t="n">
        <f aca="false">'HC-CO'!U69+'Logistics&amp;WH Payroll'!N45-'Logistics&amp;WH Payroll'!N34*'Logistics&amp;WH Payroll'!$B$6</f>
        <v>11783.9064919457</v>
      </c>
      <c r="AD69" s="75" t="n">
        <f aca="false">'HC-CO'!V69+'Logistics&amp;WH Payroll'!O45-'Logistics&amp;WH Payroll'!O34*'Logistics&amp;WH Payroll'!$B$6</f>
        <v>12075.169286704</v>
      </c>
      <c r="AE69" s="75" t="n">
        <f aca="false">'HC-CO'!W69+'Logistics&amp;WH Payroll'!P45-'Logistics&amp;WH Payroll'!P34*'Logistics&amp;WH Payroll'!$B$6</f>
        <v>12075.169286704</v>
      </c>
      <c r="AF69" s="75" t="n">
        <f aca="false">'HC-CO'!X69+'Logistics&amp;WH Payroll'!Q45-'Logistics&amp;WH Payroll'!Q34*'Logistics&amp;WH Payroll'!$B$6</f>
        <v>12075.169286704</v>
      </c>
      <c r="AG69" s="12" t="n">
        <f aca="false">SUM(U69:AF69)</f>
        <v>128491.546287623</v>
      </c>
      <c r="AH69" s="24" t="str">
        <f aca="false">IFERROR(AG69/AG$16,"")</f>
        <v/>
      </c>
      <c r="AI69" s="9" t="s">
        <v>2320</v>
      </c>
      <c r="AJ69" s="12" t="n">
        <f aca="false">N69-AG69</f>
        <v>-80886.7862876232</v>
      </c>
    </row>
    <row r="70" customFormat="false" ht="13.5" hidden="false" customHeight="true" outlineLevel="0" collapsed="false">
      <c r="A70" s="23" t="s">
        <v>2223</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2296</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2224</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2296</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2225</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2296</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2226</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77521.703050408</v>
      </c>
      <c r="V73" s="27" t="n">
        <f aca="false">SUM(V67:V72)</f>
        <v>83449.703050408</v>
      </c>
      <c r="W73" s="27" t="n">
        <f aca="false">SUM(W67:W72)</f>
        <v>88574.823050408</v>
      </c>
      <c r="X73" s="27" t="n">
        <f aca="false">SUM(X67:X72)</f>
        <v>87574.823050408</v>
      </c>
      <c r="Y73" s="27" t="n">
        <f aca="false">SUM(Y67:Y72)</f>
        <v>87574.823050408</v>
      </c>
      <c r="Z73" s="27" t="n">
        <f aca="false">SUM(Z67:Z72)</f>
        <v>93699.943050408</v>
      </c>
      <c r="AA73" s="27" t="n">
        <f aca="false">SUM(AA67:AA72)</f>
        <v>105163.729717075</v>
      </c>
      <c r="AB73" s="27" t="n">
        <f aca="false">SUM(AB67:AB72)</f>
        <v>103163.729717075</v>
      </c>
      <c r="AC73" s="27" t="n">
        <f aca="false">SUM(AC67:AC72)</f>
        <v>103163.729717075</v>
      </c>
      <c r="AD73" s="27" t="n">
        <f aca="false">SUM(AD67:AD72)</f>
        <v>105790.974408587</v>
      </c>
      <c r="AE73" s="27" t="n">
        <f aca="false">SUM(AE67:AE72)</f>
        <v>105790.974408587</v>
      </c>
      <c r="AF73" s="27" t="n">
        <f aca="false">SUM(AF67:AF72)</f>
        <v>105790.974408587</v>
      </c>
      <c r="AG73" s="27" t="n">
        <f aca="false">SUM(U73:AF73)</f>
        <v>1147259.93067943</v>
      </c>
      <c r="AH73" s="28" t="str">
        <f aca="false">IFERROR(AG73/AG$16,"")</f>
        <v/>
      </c>
      <c r="AI73" s="9"/>
      <c r="AJ73" s="27" t="n">
        <f aca="false">N73-AG73</f>
        <v>-510193.980679433</v>
      </c>
    </row>
    <row r="74" customFormat="false" ht="13.5" hidden="false" customHeight="true" outlineLevel="0" collapsed="false">
      <c r="A74" s="23" t="s">
        <v>2227</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2296</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2228</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2296</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2229</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2296</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2230</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2296</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2231</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2296</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2232</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2296</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2233</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2296</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2235</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2296</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2236</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2296</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2237</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2296</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2238</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2296</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2239</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2296</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2240</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2241</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2296</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2242</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2296</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2243</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2296</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2244</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2296</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2245</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2296</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2246</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2296</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2247</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2296</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2248</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2296</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2249</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2296</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2250</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2296</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2251</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2296</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2252</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2296</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2253</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2296</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2254</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2296</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2255</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2296</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2256</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2296</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2257</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2296</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2258</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2296</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2259</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2296</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2260</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2296</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2261</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2296</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2262</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2296</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2263</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2296</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2264</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2296</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2265</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2296</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2266</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2296</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2267</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2296</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2268</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2296</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2269</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77521.703050408</v>
      </c>
      <c r="V116" s="27" t="n">
        <f aca="false">V73+SUM(V74:V80)+V87+SUM(V88:V115)</f>
        <v>83449.703050408</v>
      </c>
      <c r="W116" s="27" t="n">
        <f aca="false">W73+SUM(W74:W80)+W87+SUM(W88:W115)</f>
        <v>88574.823050408</v>
      </c>
      <c r="X116" s="27" t="n">
        <f aca="false">X73+SUM(X74:X80)+X87+SUM(X88:X115)</f>
        <v>87574.823050408</v>
      </c>
      <c r="Y116" s="27" t="n">
        <f aca="false">Y73+SUM(Y74:Y80)+Y87+SUM(Y88:Y115)</f>
        <v>87574.823050408</v>
      </c>
      <c r="Z116" s="27" t="n">
        <f aca="false">Z73+SUM(Z74:Z80)+Z87+SUM(Z88:Z115)</f>
        <v>93699.943050408</v>
      </c>
      <c r="AA116" s="27" t="n">
        <f aca="false">AA73+SUM(AA74:AA80)+AA87+SUM(AA88:AA115)</f>
        <v>105163.729717075</v>
      </c>
      <c r="AB116" s="27" t="n">
        <f aca="false">AB73+SUM(AB74:AB80)+AB87+SUM(AB88:AB115)</f>
        <v>103163.729717075</v>
      </c>
      <c r="AC116" s="27" t="n">
        <f aca="false">AC73+SUM(AC74:AC80)+AC87+SUM(AC88:AC115)</f>
        <v>103163.729717075</v>
      </c>
      <c r="AD116" s="27" t="n">
        <f aca="false">AD73+SUM(AD74:AD80)+AD87+SUM(AD88:AD115)</f>
        <v>105790.974408587</v>
      </c>
      <c r="AE116" s="27" t="n">
        <f aca="false">AE73+SUM(AE74:AE80)+AE87+SUM(AE88:AE115)</f>
        <v>105790.974408587</v>
      </c>
      <c r="AF116" s="27" t="n">
        <f aca="false">AF73+SUM(AF74:AF80)+AF87+SUM(AF88:AF115)</f>
        <v>105790.974408587</v>
      </c>
      <c r="AG116" s="27" t="n">
        <f aca="false">SUM(U116:AF116)</f>
        <v>1147259.93067943</v>
      </c>
      <c r="AH116" s="28" t="str">
        <f aca="false">IFERROR(AG116/AG$16,"")</f>
        <v/>
      </c>
      <c r="AI116" s="9"/>
      <c r="AJ116" s="27" t="n">
        <f aca="false">N116-AG116</f>
        <v>-383314.290679433</v>
      </c>
    </row>
    <row r="117" customFormat="false" ht="13.5" hidden="false" customHeight="true" outlineLevel="0" collapsed="false">
      <c r="A117" s="41" t="s">
        <v>2270</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-77521.703050408</v>
      </c>
      <c r="V117" s="27" t="n">
        <f aca="false">V64-V116</f>
        <v>-83449.703050408</v>
      </c>
      <c r="W117" s="27" t="n">
        <f aca="false">W64-W116</f>
        <v>-88574.823050408</v>
      </c>
      <c r="X117" s="27" t="n">
        <f aca="false">X64-X116</f>
        <v>-87574.823050408</v>
      </c>
      <c r="Y117" s="27" t="n">
        <f aca="false">Y64-Y116</f>
        <v>-87574.823050408</v>
      </c>
      <c r="Z117" s="27" t="n">
        <f aca="false">Z64-Z116</f>
        <v>-93699.943050408</v>
      </c>
      <c r="AA117" s="27" t="n">
        <f aca="false">AA64-AA116</f>
        <v>-105163.729717075</v>
      </c>
      <c r="AB117" s="27" t="n">
        <f aca="false">AB64-AB116</f>
        <v>-103163.729717075</v>
      </c>
      <c r="AC117" s="27" t="n">
        <f aca="false">AC64-AC116</f>
        <v>-103163.729717075</v>
      </c>
      <c r="AD117" s="27" t="n">
        <f aca="false">AD64-AD116</f>
        <v>-105790.974408587</v>
      </c>
      <c r="AE117" s="27" t="n">
        <f aca="false">AE64-AE116</f>
        <v>-105790.974408587</v>
      </c>
      <c r="AF117" s="27" t="n">
        <f aca="false">AF64-AF116</f>
        <v>-105790.974408587</v>
      </c>
      <c r="AG117" s="27" t="n">
        <f aca="false">SUM(U117:AF117)</f>
        <v>-1147259.93067943</v>
      </c>
      <c r="AH117" s="28" t="str">
        <f aca="false">IFERROR(AG117/AG$16,"")</f>
        <v/>
      </c>
      <c r="AI117" s="9"/>
      <c r="AJ117" s="27" t="n">
        <f aca="false">AG117-N117</f>
        <v>-374320.000679433</v>
      </c>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2273</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2296</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2274</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2296</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2277</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2296</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2278</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2296</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2279</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2296</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2280</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2296</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2281</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2296</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2282</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2296</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2284</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-77521.703050408</v>
      </c>
      <c r="V132" s="71" t="n">
        <f aca="false">V117+V131</f>
        <v>-83449.703050408</v>
      </c>
      <c r="W132" s="71" t="n">
        <f aca="false">W117+W131</f>
        <v>-88574.823050408</v>
      </c>
      <c r="X132" s="71" t="n">
        <f aca="false">X117+X131</f>
        <v>-87574.823050408</v>
      </c>
      <c r="Y132" s="71" t="n">
        <f aca="false">Y117+Y131</f>
        <v>-87574.823050408</v>
      </c>
      <c r="Z132" s="71" t="n">
        <f aca="false">Z117+Z131</f>
        <v>-93699.943050408</v>
      </c>
      <c r="AA132" s="71" t="n">
        <f aca="false">AA117+AA131</f>
        <v>-105163.729717075</v>
      </c>
      <c r="AB132" s="71" t="n">
        <f aca="false">AB117+AB131</f>
        <v>-103163.729717075</v>
      </c>
      <c r="AC132" s="71" t="n">
        <f aca="false">AC117+AC131</f>
        <v>-103163.729717075</v>
      </c>
      <c r="AD132" s="71" t="n">
        <f aca="false">AD117+AD131</f>
        <v>-105790.974408587</v>
      </c>
      <c r="AE132" s="71" t="n">
        <f aca="false">AE117+AE131</f>
        <v>-105790.974408587</v>
      </c>
      <c r="AF132" s="71" t="n">
        <f aca="false">AF117+AF131</f>
        <v>-105790.974408587</v>
      </c>
      <c r="AG132" s="71" t="n">
        <f aca="false">SUM(U132:AF132)</f>
        <v>-1147259.93067943</v>
      </c>
      <c r="AH132" s="72" t="str">
        <f aca="false">IFERROR(AG132/AG$16,"")</f>
        <v/>
      </c>
      <c r="AI132" s="9"/>
      <c r="AJ132" s="71" t="n">
        <f aca="false">AG132-N132</f>
        <v>-374320.000679433</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2286</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65529.8333333333</v>
      </c>
      <c r="V137" s="12" t="n">
        <f aca="false">SUMIF($A$9:$A$132,"*"&amp;$A137&amp;"*",V$9:V$132)</f>
        <v>70529.8333333333</v>
      </c>
      <c r="W137" s="12" t="n">
        <f aca="false">SUMIF($A$9:$A$132,"*"&amp;$A137&amp;"*",W$9:W$132)</f>
        <v>74689.8333333333</v>
      </c>
      <c r="X137" s="12" t="n">
        <f aca="false">SUMIF($A$9:$A$132,"*"&amp;$A137&amp;"*",X$9:X$132)</f>
        <v>73689.8333333333</v>
      </c>
      <c r="Y137" s="12" t="n">
        <f aca="false">SUMIF($A$9:$A$132,"*"&amp;$A137&amp;"*",Y$9:Y$132)</f>
        <v>73689.8333333333</v>
      </c>
      <c r="Z137" s="12" t="n">
        <f aca="false">SUMIF($A$9:$A$132,"*"&amp;$A137&amp;"*",Z$9:Z$132)</f>
        <v>78849.8333333333</v>
      </c>
      <c r="AA137" s="12" t="n">
        <f aca="false">SUMIF($A$9:$A$132,"*"&amp;$A137&amp;"*",AA$9:AA$132)</f>
        <v>88343.1666666667</v>
      </c>
      <c r="AB137" s="12" t="n">
        <f aca="false">SUMIF($A$9:$A$132,"*"&amp;$A137&amp;"*",AB$9:AB$132)</f>
        <v>86343.1666666667</v>
      </c>
      <c r="AC137" s="12" t="n">
        <f aca="false">SUMIF($A$9:$A$132,"*"&amp;$A137&amp;"*",AC$9:AC$132)</f>
        <v>86343.1666666667</v>
      </c>
      <c r="AD137" s="12" t="n">
        <f aca="false">SUMIF($A$9:$A$132,"*"&amp;$A137&amp;"*",AD$9:AD$132)</f>
        <v>88553.8616666667</v>
      </c>
      <c r="AE137" s="12" t="n">
        <f aca="false">SUMIF($A$9:$A$132,"*"&amp;$A137&amp;"*",AE$9:AE$132)</f>
        <v>88553.8616666667</v>
      </c>
      <c r="AF137" s="12" t="n">
        <f aca="false">SUMIF($A$9:$A$132,"*"&amp;$A137&amp;"*",AF$9:AF$132)</f>
        <v>88553.8616666667</v>
      </c>
      <c r="AG137" s="12" t="n">
        <f aca="false">SUMIF($A$9:$A$132,"*"&amp;$A137&amp;"*",AG$9:AG$132)</f>
        <v>963670.085</v>
      </c>
      <c r="AH137" s="24"/>
      <c r="AI137" s="9"/>
      <c r="AJ137" s="12"/>
    </row>
    <row r="138" customFormat="false" ht="13.5" hidden="false" customHeight="true" outlineLevel="0" collapsed="false">
      <c r="A138" s="23"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2288</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3621.34989179565</v>
      </c>
      <c r="V139" s="12" t="n">
        <f aca="false">SUMIF($A$9:$A$132,"*"&amp;$A139&amp;"*",V$9:V$132)</f>
        <v>3893.34989179565</v>
      </c>
      <c r="W139" s="12" t="n">
        <f aca="false">SUMIF($A$9:$A$132,"*"&amp;$A139&amp;"*",W$9:W$132)</f>
        <v>4176.22989179565</v>
      </c>
      <c r="X139" s="12" t="n">
        <f aca="false">SUMIF($A$9:$A$132,"*"&amp;$A139&amp;"*",X$9:X$132)</f>
        <v>4176.22989179565</v>
      </c>
      <c r="Y139" s="12" t="n">
        <f aca="false">SUMIF($A$9:$A$132,"*"&amp;$A139&amp;"*",Y$9:Y$132)</f>
        <v>4176.22989179565</v>
      </c>
      <c r="Z139" s="12" t="n">
        <f aca="false">SUMIF($A$9:$A$132,"*"&amp;$A139&amp;"*",Z$9:Z$132)</f>
        <v>4459.10989179565</v>
      </c>
      <c r="AA139" s="12" t="n">
        <f aca="false">SUMIF($A$9:$A$132,"*"&amp;$A139&amp;"*",AA$9:AA$132)</f>
        <v>5036.65655846232</v>
      </c>
      <c r="AB139" s="12" t="n">
        <f aca="false">SUMIF($A$9:$A$132,"*"&amp;$A139&amp;"*",AB$9:AB$132)</f>
        <v>5036.65655846232</v>
      </c>
      <c r="AC139" s="12" t="n">
        <f aca="false">SUMIF($A$9:$A$132,"*"&amp;$A139&amp;"*",AC$9:AC$132)</f>
        <v>5036.65655846232</v>
      </c>
      <c r="AD139" s="12" t="n">
        <f aca="false">SUMIF($A$9:$A$132,"*"&amp;$A139&amp;"*",AD$9:AD$132)</f>
        <v>5161.94345521619</v>
      </c>
      <c r="AE139" s="12" t="n">
        <f aca="false">SUMIF($A$9:$A$132,"*"&amp;$A139&amp;"*",AE$9:AE$132)</f>
        <v>5161.94345521619</v>
      </c>
      <c r="AF139" s="12" t="n">
        <f aca="false">SUMIF($A$9:$A$132,"*"&amp;$A139&amp;"*",AF$9:AF$132)</f>
        <v>5161.94345521619</v>
      </c>
      <c r="AG139" s="12" t="n">
        <f aca="false">SUMIF($A$9:$A$132,"*"&amp;$A139&amp;"*",AG$9:AG$132)</f>
        <v>55098.2993918094</v>
      </c>
      <c r="AH139" s="12"/>
      <c r="AI139" s="9"/>
      <c r="AJ139" s="12"/>
    </row>
    <row r="140" customFormat="false" ht="13.5" hidden="false" customHeight="true" outlineLevel="0" collapsed="false">
      <c r="A140" s="23" t="s">
        <v>2289</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8370.51982527901</v>
      </c>
      <c r="V140" s="12" t="n">
        <f aca="false">SUMIF($A$9:$A$132,"*"&amp;$A140&amp;"*",V$9:V$132)</f>
        <v>9026.51982527901</v>
      </c>
      <c r="W140" s="12" t="n">
        <f aca="false">SUMIF($A$9:$A$132,"*"&amp;$A140&amp;"*",W$9:W$132)</f>
        <v>9708.75982527901</v>
      </c>
      <c r="X140" s="12" t="n">
        <f aca="false">SUMIF($A$9:$A$132,"*"&amp;$A140&amp;"*",X$9:X$132)</f>
        <v>9708.75982527901</v>
      </c>
      <c r="Y140" s="12" t="n">
        <f aca="false">SUMIF($A$9:$A$132,"*"&amp;$A140&amp;"*",Y$9:Y$132)</f>
        <v>9708.75982527901</v>
      </c>
      <c r="Z140" s="12" t="n">
        <f aca="false">SUMIF($A$9:$A$132,"*"&amp;$A140&amp;"*",Z$9:Z$132)</f>
        <v>10390.999825279</v>
      </c>
      <c r="AA140" s="12" t="n">
        <f aca="false">SUMIF($A$9:$A$132,"*"&amp;$A140&amp;"*",AA$9:AA$132)</f>
        <v>11783.9064919457</v>
      </c>
      <c r="AB140" s="12" t="n">
        <f aca="false">SUMIF($A$9:$A$132,"*"&amp;$A140&amp;"*",AB$9:AB$132)</f>
        <v>11783.9064919457</v>
      </c>
      <c r="AC140" s="12" t="n">
        <f aca="false">SUMIF($A$9:$A$132,"*"&amp;$A140&amp;"*",AC$9:AC$132)</f>
        <v>11783.9064919457</v>
      </c>
      <c r="AD140" s="12" t="n">
        <f aca="false">SUMIF($A$9:$A$132,"*"&amp;$A140&amp;"*",AD$9:AD$132)</f>
        <v>12075.169286704</v>
      </c>
      <c r="AE140" s="12" t="n">
        <f aca="false">SUMIF($A$9:$A$132,"*"&amp;$A140&amp;"*",AE$9:AE$132)</f>
        <v>12075.169286704</v>
      </c>
      <c r="AF140" s="12" t="n">
        <f aca="false">SUMIF($A$9:$A$132,"*"&amp;$A140&amp;"*",AF$9:AF$132)</f>
        <v>12075.169286704</v>
      </c>
      <c r="AG140" s="12" t="n">
        <f aca="false">SUMIF($A$9:$A$132,"*"&amp;$A140&amp;"*",AG$9:AG$132)</f>
        <v>128491.546287623</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2290</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0.182998629892359</v>
      </c>
      <c r="V142" s="24" t="n">
        <f aca="false">IFERROR(SUM(V139:V140)/SUM(V137:V138),"")</f>
        <v>0.183183046187188</v>
      </c>
      <c r="W142" s="24" t="n">
        <f aca="false">IFERROR(SUM(W139:W140)/SUM(W137:W138),"")</f>
        <v>0.18590200429431</v>
      </c>
      <c r="X142" s="24" t="n">
        <f aca="false">IFERROR(SUM(X139:X140)/SUM(X137:X138),"")</f>
        <v>0.188424767556013</v>
      </c>
      <c r="Y142" s="24" t="n">
        <f aca="false">IFERROR(SUM(Y139:Y140)/SUM(Y137:Y138),"")</f>
        <v>0.188424767556013</v>
      </c>
      <c r="Z142" s="24" t="n">
        <f aca="false">IFERROR(SUM(Z139:Z140)/SUM(Z137:Z138),"")</f>
        <v>0.188334066025183</v>
      </c>
      <c r="AA142" s="24" t="n">
        <f aca="false">IFERROR(SUM(AA139:AA140)/SUM(AA137:AA138),"")</f>
        <v>0.190400272993097</v>
      </c>
      <c r="AB142" s="24" t="n">
        <f aca="false">IFERROR(SUM(AB139:AB140)/SUM(AB137:AB138),"")</f>
        <v>0.194810587794919</v>
      </c>
      <c r="AC142" s="24" t="n">
        <f aca="false">IFERROR(SUM(AC139:AC140)/SUM(AC137:AC138),"")</f>
        <v>0.194810587794919</v>
      </c>
      <c r="AD142" s="24" t="n">
        <f aca="false">IFERROR(SUM(AD139:AD140)/SUM(AD137:AD138),"")</f>
        <v>0.194651169553779</v>
      </c>
      <c r="AE142" s="24" t="n">
        <f aca="false">IFERROR(SUM(AE139:AE140)/SUM(AE137:AE138),"")</f>
        <v>0.194651169553779</v>
      </c>
      <c r="AF142" s="24" t="n">
        <f aca="false">IFERROR(SUM(AF139:AF140)/SUM(AF137:AF138),"")</f>
        <v>0.194651169553779</v>
      </c>
      <c r="AG142" s="24" t="n">
        <f aca="false">IFERROR(SUM(AG139:AG140)/SUM(AG137:AG138),"")</f>
        <v>0.190511097664127</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3" width="47.88"/>
    <col collapsed="false" customWidth="true" hidden="false" outlineLevel="1" max="13" min="2" style="3" width="9.88"/>
    <col collapsed="false" customWidth="true" hidden="false" outlineLevel="0" max="14" min="14" style="3" width="12.5"/>
    <col collapsed="false" customWidth="true" hidden="false" outlineLevel="0" max="15" min="15" style="3" width="11.12"/>
    <col collapsed="false" customWidth="true" hidden="false" outlineLevel="0" max="17" min="16" style="3" width="6.63"/>
    <col collapsed="false" customWidth="true" hidden="false" outlineLevel="0" max="18" min="18" style="3" width="13.13"/>
    <col collapsed="false" customWidth="true" hidden="false" outlineLevel="0" max="19" min="19" style="3" width="12"/>
    <col collapsed="false" customWidth="true" hidden="false" outlineLevel="0" max="20" min="20" style="3" width="11.12"/>
    <col collapsed="false" customWidth="true" hidden="false" outlineLevel="1" max="32" min="21" style="3" width="9.88"/>
    <col collapsed="false" customWidth="true" hidden="false" outlineLevel="0" max="33" min="33" style="3" width="12.5"/>
    <col collapsed="false" customWidth="true" hidden="false" outlineLevel="0" max="34" min="34" style="3" width="11.12"/>
    <col collapsed="false" customWidth="true" hidden="false" outlineLevel="0" max="35" min="35" style="3" width="6.51"/>
    <col collapsed="false" customWidth="true" hidden="false" outlineLevel="0" max="36" min="36" style="3" width="11.5"/>
  </cols>
  <sheetData>
    <row r="1" customFormat="false" ht="13.5" hidden="false" customHeight="true" outlineLevel="0" collapsed="false">
      <c r="A1" s="54" t="s">
        <v>2321</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2143</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57"/>
      <c r="S7" s="58" t="s">
        <v>2292</v>
      </c>
      <c r="T7" s="58" t="s">
        <v>2147</v>
      </c>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c r="AJ7" s="17" t="s">
        <v>2147</v>
      </c>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57" t="s">
        <v>2293</v>
      </c>
      <c r="S8" s="58" t="s">
        <v>2294</v>
      </c>
      <c r="T8" s="58" t="s">
        <v>2295</v>
      </c>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2167</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2296</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2168</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2296</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2169</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2170</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2296</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2171</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2174</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2296</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2175</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2296</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2176</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2296</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2177</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2296</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2178</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2296</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2179</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2296</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2180</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2296</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2181</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2182</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2296</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2183</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2296</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2184</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2297</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2185</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2297</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2187</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2188</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2189</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2190</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2191</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2192</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2296</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2193</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2296</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2194</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2296</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2195</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2296</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2196</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2296</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2198</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2296</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2199</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2296</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2200</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2296</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2201</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2296</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2202</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2296</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2203</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2296</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2204</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2296</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2206</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2207</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2208</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2209</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2210</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2212</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2296</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2213</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2296</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2214</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2296</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2215</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2216</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2296</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2217</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82</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2218</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2219</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2220</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2221</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2222</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2223</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2296</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2224</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2296</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2225</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2296</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2226</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2227</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2297</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2228</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2297</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2229</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2296</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2230</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2296</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2231</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2296</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2232</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2296</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2233</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2296</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2235</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2296</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2236</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2296</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2237</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2296</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2238</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2296</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2239</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2296</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2240</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2241</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2296</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2242</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2296</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2243</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2296</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2244</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2296</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2245</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2296</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2246</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2296</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2247</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2296</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2248</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2296</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2249</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2296</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2250</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2296</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2251</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2296</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2252</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2296</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2253</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2296</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2254</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2296</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2255</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2296</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2256</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2296</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2257</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2296</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2258</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2296</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2259</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2296</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2260</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2296</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2261</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2296</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2262</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2296</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2263</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2296</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2264</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2296</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2265</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2296</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2266</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2296</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2267</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2296</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2268</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2296</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2269</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2270</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2273</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2296</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2274</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2296</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2277</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2296</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2278</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2296</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2279</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2296</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2280</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2296</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2281</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2296</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2282</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2296</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2284</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2286</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2288</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2289</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2290</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3" width="54.71"/>
    <col collapsed="false" customWidth="true" hidden="false" outlineLevel="1" max="13" min="2" style="3" width="11.29"/>
    <col collapsed="false" customWidth="true" hidden="false" outlineLevel="0" max="14" min="14" style="3" width="14.29"/>
    <col collapsed="false" customWidth="true" hidden="false" outlineLevel="0" max="15" min="15" style="3" width="12.71"/>
    <col collapsed="false" customWidth="true" hidden="false" outlineLevel="0" max="17" min="16" style="3" width="6.71"/>
    <col collapsed="false" customWidth="true" hidden="false" outlineLevel="0" max="18" min="18" style="3" width="15"/>
    <col collapsed="false" customWidth="true" hidden="false" outlineLevel="0" max="19" min="19" style="3" width="13.71"/>
    <col collapsed="false" customWidth="true" hidden="false" outlineLevel="0" max="20" min="20" style="3" width="12.71"/>
    <col collapsed="false" customWidth="true" hidden="false" outlineLevel="1" max="32" min="21" style="3" width="11.29"/>
    <col collapsed="false" customWidth="true" hidden="false" outlineLevel="0" max="33" min="33" style="3" width="14.29"/>
    <col collapsed="false" customWidth="true" hidden="false" outlineLevel="0" max="34" min="34" style="3" width="12.71"/>
    <col collapsed="false" customWidth="true" hidden="false" outlineLevel="0" max="35" min="35" style="3" width="7.43"/>
    <col collapsed="false" customWidth="true" hidden="false" outlineLevel="0" max="36" min="36" style="3" width="13.15"/>
  </cols>
  <sheetData>
    <row r="1" customFormat="false" ht="13.5" hidden="false" customHeight="true" outlineLevel="0" collapsed="false">
      <c r="A1" s="54" t="s">
        <v>2322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2143</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2144</v>
      </c>
      <c r="C7" s="14" t="s">
        <v>2144</v>
      </c>
      <c r="D7" s="14" t="s">
        <v>2144</v>
      </c>
      <c r="E7" s="14" t="s">
        <v>2144</v>
      </c>
      <c r="F7" s="14" t="s">
        <v>2144</v>
      </c>
      <c r="G7" s="14" t="s">
        <v>2144</v>
      </c>
      <c r="H7" s="14" t="s">
        <v>2144</v>
      </c>
      <c r="I7" s="14" t="s">
        <v>2144</v>
      </c>
      <c r="J7" s="15" t="s">
        <v>2145</v>
      </c>
      <c r="K7" s="15" t="s">
        <v>2145</v>
      </c>
      <c r="L7" s="15" t="s">
        <v>2145</v>
      </c>
      <c r="M7" s="15" t="s">
        <v>2145</v>
      </c>
      <c r="N7" s="15" t="s">
        <v>2145</v>
      </c>
      <c r="O7" s="15" t="s">
        <v>2145</v>
      </c>
      <c r="P7" s="9"/>
      <c r="Q7" s="9"/>
      <c r="R7" s="57"/>
      <c r="S7" s="58" t="s">
        <v>2292</v>
      </c>
      <c r="T7" s="58" t="s">
        <v>2147</v>
      </c>
      <c r="U7" s="16" t="s">
        <v>2146</v>
      </c>
      <c r="V7" s="16" t="s">
        <v>2146</v>
      </c>
      <c r="W7" s="16" t="s">
        <v>2146</v>
      </c>
      <c r="X7" s="16" t="s">
        <v>2146</v>
      </c>
      <c r="Y7" s="16" t="s">
        <v>2146</v>
      </c>
      <c r="Z7" s="16" t="s">
        <v>2146</v>
      </c>
      <c r="AA7" s="16" t="s">
        <v>2146</v>
      </c>
      <c r="AB7" s="16" t="s">
        <v>2146</v>
      </c>
      <c r="AC7" s="16" t="s">
        <v>2146</v>
      </c>
      <c r="AD7" s="16" t="s">
        <v>2146</v>
      </c>
      <c r="AE7" s="16" t="s">
        <v>2146</v>
      </c>
      <c r="AF7" s="16" t="s">
        <v>2146</v>
      </c>
      <c r="AG7" s="16" t="s">
        <v>2146</v>
      </c>
      <c r="AH7" s="16" t="s">
        <v>2146</v>
      </c>
      <c r="AI7" s="9"/>
      <c r="AJ7" s="17" t="s">
        <v>2147</v>
      </c>
    </row>
    <row r="8" customFormat="false" ht="13.5" hidden="false" customHeight="true" outlineLevel="0" collapsed="false">
      <c r="A8" s="13" t="s">
        <v>2148</v>
      </c>
      <c r="B8" s="18" t="s">
        <v>2149</v>
      </c>
      <c r="C8" s="18" t="s">
        <v>2150</v>
      </c>
      <c r="D8" s="18" t="s">
        <v>2151</v>
      </c>
      <c r="E8" s="18" t="s">
        <v>2152</v>
      </c>
      <c r="F8" s="18" t="s">
        <v>2153</v>
      </c>
      <c r="G8" s="18" t="s">
        <v>2154</v>
      </c>
      <c r="H8" s="18" t="s">
        <v>2155</v>
      </c>
      <c r="I8" s="18" t="s">
        <v>2156</v>
      </c>
      <c r="J8" s="18" t="s">
        <v>2157</v>
      </c>
      <c r="K8" s="18" t="s">
        <v>2158</v>
      </c>
      <c r="L8" s="18" t="s">
        <v>2159</v>
      </c>
      <c r="M8" s="18" t="s">
        <v>2160</v>
      </c>
      <c r="N8" s="14" t="n">
        <v>2026</v>
      </c>
      <c r="O8" s="14" t="s">
        <v>2161</v>
      </c>
      <c r="P8" s="9"/>
      <c r="Q8" s="9"/>
      <c r="R8" s="57" t="s">
        <v>2293</v>
      </c>
      <c r="S8" s="58" t="s">
        <v>2294</v>
      </c>
      <c r="T8" s="58" t="s">
        <v>2295</v>
      </c>
      <c r="U8" s="19" t="s">
        <v>2149</v>
      </c>
      <c r="V8" s="19" t="s">
        <v>2150</v>
      </c>
      <c r="W8" s="19" t="s">
        <v>2151</v>
      </c>
      <c r="X8" s="19" t="s">
        <v>2152</v>
      </c>
      <c r="Y8" s="19" t="s">
        <v>2153</v>
      </c>
      <c r="Z8" s="19" t="s">
        <v>2154</v>
      </c>
      <c r="AA8" s="19" t="s">
        <v>2155</v>
      </c>
      <c r="AB8" s="19" t="s">
        <v>2156</v>
      </c>
      <c r="AC8" s="19" t="s">
        <v>2157</v>
      </c>
      <c r="AD8" s="19" t="s">
        <v>2158</v>
      </c>
      <c r="AE8" s="19" t="s">
        <v>2159</v>
      </c>
      <c r="AF8" s="19" t="s">
        <v>2160</v>
      </c>
      <c r="AG8" s="19" t="s">
        <v>2162</v>
      </c>
      <c r="AH8" s="16" t="s">
        <v>2161</v>
      </c>
      <c r="AI8" s="9"/>
      <c r="AJ8" s="20" t="s">
        <v>2163</v>
      </c>
    </row>
    <row r="9" customFormat="false" ht="13.5" hidden="false" customHeight="true" outlineLevel="0" collapsed="false">
      <c r="A9" s="21" t="s">
        <v>2164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2165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2166</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2167</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2296</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2168</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2296</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2169</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2170</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2296</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2171</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2172</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2173</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2174</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2296</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2175</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2296</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2176</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2296</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2177</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2296</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2178</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2178</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2296</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2179</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2296</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2180</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2296</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2181</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2182</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2296</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2183</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2296</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2184</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2296</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2185</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2296</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2186</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2187</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2188</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2189</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2190</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2191</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2192</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2296</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2193</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2296</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2194</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2296</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2195</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2296</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2196</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2296</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2197</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2198</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2296</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2199</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2296</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2200</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2296</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2201</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2296</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2202</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2296</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2203</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2296</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2204</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2296</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2205</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2206</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2207</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2208</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2209</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2210</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2211</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2212</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2296</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2213</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2296</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2214</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2296</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2215</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2216</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2296</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2217</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82</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2218</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2219</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2220</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2221</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2222</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2223</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2296</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2224</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2296</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2225</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2296</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2226</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2227</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2296</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2323</v>
      </c>
      <c r="AJ74" s="12" t="n">
        <f aca="false">N74-AG74</f>
        <v>-24264.88</v>
      </c>
    </row>
    <row r="75" customFormat="false" ht="13.5" hidden="false" customHeight="true" outlineLevel="0" collapsed="false">
      <c r="A75" s="23" t="s">
        <v>2228</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2296</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2229</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2296</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2230</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2296</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2231</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2296</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2232</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2296</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2233</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2296</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2234</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2235</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2296</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2236</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2296</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2237</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2296</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2238</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2296</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2239</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2296</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2240</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2241</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2296</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2242</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2296</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2243</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2296</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2244</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2296</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2245</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2296</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2246</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2296</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2247</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2296</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2248</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2296</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2249</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2296</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2250</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2296</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2251</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2296</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2252</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2296</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2253</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2296</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2254</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2296</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2255</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2296</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2256</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2296</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2257</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2296</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2258</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2296</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2259</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2296</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2260</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2296</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2261</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2296</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2262</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2296</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2263</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2296</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2264</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2296</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2265</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2296</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2266</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2296</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2267</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2296</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2268</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2296</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2269</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2270</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2271</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2272</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2273</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2296</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2274</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2296</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2275</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2276</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2277</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2296</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2278</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2296</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2279</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2296</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2280</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2296</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2281</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2296</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2282</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2296</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2283</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2284</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2286</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2287</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2288</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2289</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2290</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2317</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3" width="49.63"/>
    <col collapsed="false" customWidth="true" hidden="false" outlineLevel="0" max="17" min="2" style="3" width="9.25"/>
    <col collapsed="false" customWidth="true" hidden="false" outlineLevel="0" max="18" min="18" style="3" width="11.5"/>
    <col collapsed="false" customWidth="true" hidden="false" outlineLevel="0" max="26" min="19" style="3" width="8.63"/>
  </cols>
  <sheetData>
    <row r="1" customFormat="false" ht="14.25" hidden="false" customHeight="true" outlineLevel="0" collapsed="false">
      <c r="A1" s="77" t="s">
        <v>2324</v>
      </c>
    </row>
    <row r="2" customFormat="false" ht="14.25" hidden="false" customHeight="true" outlineLevel="0" collapsed="false">
      <c r="A2" s="78" t="s">
        <v>1249</v>
      </c>
    </row>
    <row r="3" customFormat="false" ht="14.25" hidden="false" customHeight="true" outlineLevel="0" collapsed="false">
      <c r="A3" s="79" t="s">
        <v>1291</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2325</v>
      </c>
    </row>
    <row r="5" customFormat="false" ht="14.25" hidden="false" customHeight="true" outlineLevel="0" collapsed="false">
      <c r="A5" s="83" t="s">
        <v>2326</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2327</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1252</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2328</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1255</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2329</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1258</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2330</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1261</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2331</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2332</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2333</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2334</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2335</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2336</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2337</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2338</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2339</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2340</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2341</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2342</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2343</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1264</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1267</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2344</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2345</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2346</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1270</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2347</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1273</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1276</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1279</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1282</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1285</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2348</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2129</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2132</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2135</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2138</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2141</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2349</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2350</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2351</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2325</v>
      </c>
    </row>
    <row r="54" customFormat="false" ht="14.25" hidden="false" customHeight="true" outlineLevel="0" collapsed="false">
      <c r="A54" s="52" t="s">
        <v>2352</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2353</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2354</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2355</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2353</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2354</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2356</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2353</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2354</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2357</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2334</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2358</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2359</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2360</v>
      </c>
    </row>
    <row r="68" customFormat="false" ht="14.25" hidden="false" customHeight="true" outlineLevel="0" collapsed="false"/>
    <row r="69" customFormat="false" ht="14.25" hidden="false" customHeight="true" outlineLevel="0" collapsed="false">
      <c r="A69" s="138" t="s">
        <v>2361</v>
      </c>
    </row>
    <row r="70" customFormat="false" ht="14.25" hidden="false" customHeight="true" outlineLevel="0" collapsed="false">
      <c r="A70" s="3" t="s">
        <v>2362</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3" t="s">
        <v>2363</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3" t="s">
        <v>2364</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3" t="s">
        <v>2365</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3" t="s">
        <v>2366</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3" t="s">
        <v>2367</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3" width="62"/>
    <col collapsed="false" customWidth="true" hidden="false" outlineLevel="0" max="2" min="2" style="3" width="14"/>
    <col collapsed="false" customWidth="true" hidden="false" outlineLevel="0" max="3" min="3" style="3" width="12"/>
    <col collapsed="false" customWidth="true" hidden="false" outlineLevel="0" max="4" min="4" style="3" width="14"/>
    <col collapsed="false" customWidth="true" hidden="false" outlineLevel="0" max="5" min="5" style="3" width="16"/>
    <col collapsed="false" customWidth="true" hidden="false" outlineLevel="0" max="18" min="6" style="3" width="13"/>
    <col collapsed="false" customWidth="true" hidden="false" outlineLevel="0" max="19" min="19" style="3" width="70"/>
  </cols>
  <sheetData>
    <row r="1" customFormat="false" ht="17.35" hidden="false" customHeight="false" outlineLevel="0" collapsed="false">
      <c r="A1" s="1" t="s">
        <v>2368</v>
      </c>
    </row>
    <row r="2" customFormat="false" ht="15" hidden="false" customHeight="false" outlineLevel="0" collapsed="false">
      <c r="A2" s="3" t="s">
        <v>2369</v>
      </c>
    </row>
    <row r="4" customFormat="false" ht="15" hidden="false" customHeight="false" outlineLevel="0" collapsed="false">
      <c r="A4" s="5" t="s">
        <v>2370</v>
      </c>
    </row>
    <row r="5" customFormat="false" ht="15" hidden="false" customHeight="false" outlineLevel="0" collapsed="false">
      <c r="A5" s="2" t="s">
        <v>2371</v>
      </c>
      <c r="B5" s="2" t="s">
        <v>305</v>
      </c>
      <c r="C5" s="2" t="s">
        <v>2372</v>
      </c>
      <c r="D5" s="2" t="s">
        <v>2373</v>
      </c>
    </row>
    <row r="6" customFormat="false" ht="15" hidden="false" customHeight="false" outlineLevel="0" collapsed="false">
      <c r="A6" s="3" t="s">
        <v>2374</v>
      </c>
      <c r="B6" s="140" t="n">
        <v>65000</v>
      </c>
      <c r="C6" s="3" t="s">
        <v>2375</v>
      </c>
      <c r="D6" s="3" t="s">
        <v>2376</v>
      </c>
    </row>
    <row r="7" customFormat="false" ht="15" hidden="false" customHeight="false" outlineLevel="0" collapsed="false">
      <c r="A7" s="3" t="s">
        <v>2377</v>
      </c>
      <c r="B7" s="140" t="n">
        <f aca="false">(DeploySum!R29-DeploySum!R25*B8)/DeploySum!R24-B6</f>
        <v>4137.5</v>
      </c>
      <c r="C7" s="3" t="s">
        <v>2375</v>
      </c>
      <c r="D7" s="3" t="s">
        <v>2378</v>
      </c>
    </row>
    <row r="8" customFormat="false" ht="15" hidden="false" customHeight="false" outlineLevel="0" collapsed="false">
      <c r="A8" s="3" t="s">
        <v>2379</v>
      </c>
      <c r="B8" s="140" t="n">
        <v>8000</v>
      </c>
      <c r="C8" s="3" t="s">
        <v>2375</v>
      </c>
      <c r="D8" s="3" t="s">
        <v>2380</v>
      </c>
    </row>
    <row r="9" customFormat="false" ht="15" hidden="false" customHeight="false" outlineLevel="0" collapsed="false">
      <c r="A9" s="3" t="s">
        <v>2381</v>
      </c>
      <c r="B9" s="141" t="n">
        <v>84</v>
      </c>
      <c r="C9" s="3" t="s">
        <v>2382</v>
      </c>
      <c r="D9" s="3" t="s">
        <v>2383</v>
      </c>
    </row>
    <row r="10" customFormat="false" ht="15" hidden="false" customHeight="false" outlineLevel="0" collapsed="false">
      <c r="A10" s="3" t="s">
        <v>2384</v>
      </c>
      <c r="B10" s="141" t="n">
        <v>120</v>
      </c>
      <c r="C10" s="3" t="s">
        <v>2382</v>
      </c>
      <c r="D10" s="3" t="s">
        <v>2385</v>
      </c>
    </row>
    <row r="11" customFormat="false" ht="15" hidden="false" customHeight="false" outlineLevel="0" collapsed="false">
      <c r="A11" s="3" t="s">
        <v>2386</v>
      </c>
      <c r="B11" s="141" t="n">
        <f aca="false">B9</f>
        <v>84</v>
      </c>
      <c r="C11" s="3" t="s">
        <v>2382</v>
      </c>
      <c r="D11" s="3" t="s">
        <v>2387</v>
      </c>
    </row>
    <row r="12" customFormat="false" ht="15" hidden="false" customHeight="false" outlineLevel="0" collapsed="false">
      <c r="A12" s="3" t="s">
        <v>2388</v>
      </c>
      <c r="B12" s="142" t="n">
        <v>0</v>
      </c>
      <c r="C12" s="3" t="s">
        <v>2389</v>
      </c>
      <c r="D12" s="3" t="s">
        <v>2390</v>
      </c>
    </row>
    <row r="13" customFormat="false" ht="15" hidden="false" customHeight="false" outlineLevel="0" collapsed="false">
      <c r="A13" s="3" t="s">
        <v>2391</v>
      </c>
      <c r="B13" s="141" t="n">
        <v>0</v>
      </c>
      <c r="C13" s="3" t="s">
        <v>2382</v>
      </c>
      <c r="D13" s="3" t="s">
        <v>2392</v>
      </c>
    </row>
    <row r="14" customFormat="false" ht="15" hidden="false" customHeight="false" outlineLevel="0" collapsed="false">
      <c r="A14" s="3" t="s">
        <v>2393</v>
      </c>
      <c r="B14" s="141" t="n">
        <v>5011</v>
      </c>
      <c r="C14" s="3" t="s">
        <v>704</v>
      </c>
      <c r="D14" s="3" t="s">
        <v>2394</v>
      </c>
    </row>
    <row r="15" customFormat="false" ht="15" hidden="false" customHeight="false" outlineLevel="0" collapsed="false">
      <c r="A15" s="3" t="s">
        <v>2395</v>
      </c>
      <c r="B15" s="141" t="n">
        <v>5012</v>
      </c>
      <c r="C15" s="3" t="s">
        <v>704</v>
      </c>
      <c r="D15" s="3" t="s">
        <v>2396</v>
      </c>
    </row>
    <row r="16" customFormat="false" ht="15" hidden="false" customHeight="false" outlineLevel="0" collapsed="false">
      <c r="A16" s="3" t="s">
        <v>2397</v>
      </c>
      <c r="B16" s="141" t="n">
        <v>5020</v>
      </c>
      <c r="C16" s="3" t="s">
        <v>704</v>
      </c>
      <c r="D16" s="3" t="s">
        <v>2398</v>
      </c>
    </row>
    <row r="17" customFormat="false" ht="15" hidden="false" customHeight="false" outlineLevel="0" collapsed="false">
      <c r="A17" s="3" t="s">
        <v>2399</v>
      </c>
      <c r="B17" s="143" t="s">
        <v>2400</v>
      </c>
      <c r="C17" s="3" t="s">
        <v>2401</v>
      </c>
      <c r="D17" s="3" t="s">
        <v>2402</v>
      </c>
    </row>
    <row r="19" customFormat="false" ht="15" hidden="false" customHeight="false" outlineLevel="0" collapsed="false">
      <c r="A19" s="5" t="s">
        <v>2403</v>
      </c>
    </row>
    <row r="20" customFormat="false" ht="15" hidden="false" customHeight="false" outlineLevel="0" collapsed="false">
      <c r="A20" s="2" t="s">
        <v>69</v>
      </c>
      <c r="B20" s="2" t="s">
        <v>2404</v>
      </c>
      <c r="C20" s="2" t="s">
        <v>704</v>
      </c>
      <c r="D20" s="2" t="s">
        <v>2373</v>
      </c>
    </row>
    <row r="21" customFormat="false" ht="15" hidden="false" customHeight="false" outlineLevel="0" collapsed="false">
      <c r="A21" s="3" t="s">
        <v>2405</v>
      </c>
      <c r="B21" s="140" t="n">
        <f aca="false">PO!M19</f>
        <v>112797.85</v>
      </c>
      <c r="C21" s="3" t="n">
        <v>5010</v>
      </c>
      <c r="D21" s="3" t="s">
        <v>2406</v>
      </c>
    </row>
    <row r="22" customFormat="false" ht="15" hidden="false" customHeight="false" outlineLevel="0" collapsed="false">
      <c r="A22" s="3" t="s">
        <v>2407</v>
      </c>
      <c r="B22" s="140" t="n">
        <f aca="false">PO!M20</f>
        <v>20444.9</v>
      </c>
      <c r="C22" s="3" t="n">
        <v>5011</v>
      </c>
      <c r="D22" s="3" t="s">
        <v>2408</v>
      </c>
    </row>
    <row r="23" customFormat="false" ht="15" hidden="false" customHeight="false" outlineLevel="0" collapsed="false">
      <c r="A23" s="3" t="s">
        <v>2409</v>
      </c>
      <c r="B23" s="140" t="n">
        <f aca="false">PO!M21</f>
        <v>6502.64</v>
      </c>
      <c r="C23" s="3" t="n">
        <v>5012</v>
      </c>
      <c r="D23" s="3" t="s">
        <v>2410</v>
      </c>
    </row>
    <row r="24" customFormat="false" ht="15" hidden="false" customHeight="false" outlineLevel="0" collapsed="false">
      <c r="A24" s="3" t="s">
        <v>2411</v>
      </c>
      <c r="B24" s="140" t="n">
        <f aca="false">PO!M22</f>
        <v>19525.33</v>
      </c>
      <c r="C24" s="3" t="n">
        <v>5020</v>
      </c>
      <c r="D24" s="3" t="s">
        <v>2412</v>
      </c>
    </row>
    <row r="26" customFormat="false" ht="15" hidden="false" customHeight="false" outlineLevel="0" collapsed="false">
      <c r="A26" s="5" t="s">
        <v>2413</v>
      </c>
    </row>
    <row r="27" customFormat="false" ht="15" hidden="false" customHeight="false" outlineLevel="0" collapsed="false">
      <c r="A27" s="2" t="s">
        <v>69</v>
      </c>
      <c r="B27" s="2" t="s">
        <v>704</v>
      </c>
      <c r="C27" s="2" t="s">
        <v>2414</v>
      </c>
      <c r="D27" s="2" t="s">
        <v>2415</v>
      </c>
      <c r="E27" s="2" t="s">
        <v>2416</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2" t="s">
        <v>2325</v>
      </c>
      <c r="S27" s="2" t="s">
        <v>2417</v>
      </c>
    </row>
    <row r="28" customFormat="false" ht="15" hidden="false" customHeight="false" outlineLevel="0" collapsed="false">
      <c r="A28" s="3" t="s">
        <v>2418</v>
      </c>
      <c r="F28" s="3" t="n">
        <v>1</v>
      </c>
      <c r="G28" s="3" t="n">
        <v>2</v>
      </c>
      <c r="H28" s="3" t="n">
        <v>3</v>
      </c>
      <c r="I28" s="3" t="n">
        <v>4</v>
      </c>
      <c r="J28" s="3" t="n">
        <v>5</v>
      </c>
      <c r="K28" s="3" t="n">
        <v>6</v>
      </c>
      <c r="L28" s="3" t="n">
        <v>7</v>
      </c>
      <c r="M28" s="3" t="n">
        <v>8</v>
      </c>
      <c r="N28" s="3" t="n">
        <v>9</v>
      </c>
      <c r="O28" s="3" t="n">
        <v>10</v>
      </c>
      <c r="P28" s="3" t="n">
        <v>11</v>
      </c>
      <c r="Q28" s="3" t="n">
        <v>12</v>
      </c>
    </row>
    <row r="29" customFormat="false" ht="15" hidden="false" customHeight="false" outlineLevel="0" collapsed="false">
      <c r="A29" s="3" t="s">
        <v>2335</v>
      </c>
      <c r="F29" s="86" t="n">
        <f aca="false">DeploySum!F19</f>
        <v>20</v>
      </c>
      <c r="G29" s="86" t="n">
        <f aca="false">DeploySum!G19</f>
        <v>8</v>
      </c>
      <c r="H29" s="86" t="n">
        <f aca="false">DeploySum!H19</f>
        <v>0</v>
      </c>
      <c r="I29" s="86" t="n">
        <f aca="false">DeploySum!I19</f>
        <v>22</v>
      </c>
      <c r="J29" s="86" t="n">
        <f aca="false">DeploySum!J19</f>
        <v>14</v>
      </c>
      <c r="K29" s="86" t="n">
        <f aca="false">DeploySum!K19</f>
        <v>20</v>
      </c>
      <c r="L29" s="86" t="n">
        <f aca="false">DeploySum!L19</f>
        <v>18</v>
      </c>
      <c r="M29" s="86" t="n">
        <f aca="false">DeploySum!M19</f>
        <v>22</v>
      </c>
      <c r="N29" s="86" t="n">
        <f aca="false">DeploySum!N19</f>
        <v>28</v>
      </c>
      <c r="O29" s="86" t="n">
        <f aca="false">DeploySum!O19</f>
        <v>28</v>
      </c>
      <c r="P29" s="86" t="n">
        <f aca="false">DeploySum!P19</f>
        <v>34</v>
      </c>
      <c r="Q29" s="86" t="n">
        <f aca="false">DeploySum!Q19</f>
        <v>36</v>
      </c>
      <c r="R29" s="86" t="n">
        <f aca="false">SUM(F29:Q29)</f>
        <v>250</v>
      </c>
      <c r="S29" s="3" t="s">
        <v>2419</v>
      </c>
    </row>
    <row r="30" customFormat="false" ht="15" hidden="false" customHeight="false" outlineLevel="0" collapsed="false">
      <c r="A30" s="3" t="s">
        <v>2336</v>
      </c>
      <c r="F30" s="86" t="n">
        <f aca="false">DeploySum!F20</f>
        <v>60</v>
      </c>
      <c r="G30" s="86" t="n">
        <f aca="false">DeploySum!G20</f>
        <v>24</v>
      </c>
      <c r="H30" s="86" t="n">
        <f aca="false">DeploySum!H20</f>
        <v>0</v>
      </c>
      <c r="I30" s="86" t="n">
        <f aca="false">DeploySum!I20</f>
        <v>86</v>
      </c>
      <c r="J30" s="86" t="n">
        <f aca="false">DeploySum!J20</f>
        <v>61</v>
      </c>
      <c r="K30" s="86" t="n">
        <f aca="false">DeploySum!K20</f>
        <v>98</v>
      </c>
      <c r="L30" s="86" t="n">
        <f aca="false">DeploySum!L20</f>
        <v>73</v>
      </c>
      <c r="M30" s="86" t="n">
        <f aca="false">DeploySum!M20</f>
        <v>85</v>
      </c>
      <c r="N30" s="86" t="n">
        <f aca="false">DeploySum!N20</f>
        <v>122</v>
      </c>
      <c r="O30" s="86" t="n">
        <f aca="false">DeploySum!O20</f>
        <v>122</v>
      </c>
      <c r="P30" s="86" t="n">
        <f aca="false">DeploySum!P20</f>
        <v>159</v>
      </c>
      <c r="Q30" s="86" t="n">
        <f aca="false">DeploySum!Q20</f>
        <v>146</v>
      </c>
      <c r="R30" s="86" t="n">
        <f aca="false">SUM(F30:Q30)</f>
        <v>1036</v>
      </c>
      <c r="S30" s="3" t="s">
        <v>2420</v>
      </c>
    </row>
    <row r="32" customFormat="false" ht="15" hidden="false" customHeight="false" outlineLevel="0" collapsed="false">
      <c r="A32" s="138" t="s">
        <v>2421</v>
      </c>
    </row>
    <row r="33" customFormat="false" ht="15" hidden="false" customHeight="false" outlineLevel="0" collapsed="false">
      <c r="A33" s="3" t="s">
        <v>2405</v>
      </c>
      <c r="B33" s="3" t="n">
        <f aca="false">C21</f>
        <v>5010</v>
      </c>
      <c r="E33" s="145" t="n">
        <f aca="false">B21</f>
        <v>112797.85</v>
      </c>
      <c r="F33" s="145" t="n">
        <f aca="false">$E33</f>
        <v>112797.85</v>
      </c>
      <c r="G33" s="145" t="n">
        <f aca="false">$E33</f>
        <v>112797.85</v>
      </c>
      <c r="H33" s="145" t="n">
        <f aca="false">$E33</f>
        <v>112797.85</v>
      </c>
      <c r="I33" s="145" t="n">
        <f aca="false">$E33</f>
        <v>112797.85</v>
      </c>
      <c r="J33" s="145" t="n">
        <f aca="false">$E33</f>
        <v>112797.85</v>
      </c>
      <c r="K33" s="145" t="n">
        <f aca="false">$E33</f>
        <v>112797.85</v>
      </c>
      <c r="L33" s="145" t="n">
        <f aca="false">$E33</f>
        <v>112797.85</v>
      </c>
      <c r="M33" s="145" t="n">
        <f aca="false">$E33</f>
        <v>112797.85</v>
      </c>
      <c r="N33" s="145" t="n">
        <f aca="false">$E33</f>
        <v>112797.85</v>
      </c>
      <c r="O33" s="145" t="n">
        <f aca="false">$E33</f>
        <v>112797.85</v>
      </c>
      <c r="P33" s="145" t="n">
        <f aca="false">$E33</f>
        <v>112797.85</v>
      </c>
      <c r="Q33" s="145" t="n">
        <f aca="false">$E33</f>
        <v>112797.85</v>
      </c>
      <c r="R33" s="145" t="n">
        <f aca="false">SUM(F33:Q33)</f>
        <v>1353574.2</v>
      </c>
      <c r="S33" s="3" t="s">
        <v>2422</v>
      </c>
    </row>
    <row r="34" customFormat="false" ht="15" hidden="false" customHeight="false" outlineLevel="0" collapsed="false">
      <c r="A34" s="3" t="s">
        <v>2407</v>
      </c>
      <c r="B34" s="3" t="n">
        <f aca="false">C22</f>
        <v>5011</v>
      </c>
      <c r="E34" s="145" t="n">
        <f aca="false">B22</f>
        <v>20444.9</v>
      </c>
      <c r="F34" s="145" t="n">
        <f aca="false">$E34</f>
        <v>20444.9</v>
      </c>
      <c r="G34" s="145" t="n">
        <f aca="false">$E34</f>
        <v>20444.9</v>
      </c>
      <c r="H34" s="145" t="n">
        <f aca="false">$E34</f>
        <v>20444.9</v>
      </c>
      <c r="I34" s="145" t="n">
        <f aca="false">$E34</f>
        <v>20444.9</v>
      </c>
      <c r="J34" s="145" t="n">
        <f aca="false">$E34</f>
        <v>20444.9</v>
      </c>
      <c r="K34" s="145" t="n">
        <f aca="false">$E34</f>
        <v>20444.9</v>
      </c>
      <c r="L34" s="145" t="n">
        <f aca="false">$E34</f>
        <v>20444.9</v>
      </c>
      <c r="M34" s="145" t="n">
        <f aca="false">$E34</f>
        <v>20444.9</v>
      </c>
      <c r="N34" s="145" t="n">
        <f aca="false">$E34</f>
        <v>20444.9</v>
      </c>
      <c r="O34" s="145" t="n">
        <f aca="false">$E34</f>
        <v>20444.9</v>
      </c>
      <c r="P34" s="145" t="n">
        <f aca="false">$E34</f>
        <v>20444.9</v>
      </c>
      <c r="Q34" s="145" t="n">
        <f aca="false">$E34</f>
        <v>20444.9</v>
      </c>
      <c r="R34" s="145" t="n">
        <f aca="false">SUM(F34:Q34)</f>
        <v>245338.8</v>
      </c>
      <c r="S34" s="3" t="s">
        <v>2423</v>
      </c>
    </row>
    <row r="35" customFormat="false" ht="15" hidden="false" customHeight="false" outlineLevel="0" collapsed="false">
      <c r="A35" s="3" t="s">
        <v>2409</v>
      </c>
      <c r="B35" s="3" t="n">
        <f aca="false">C23</f>
        <v>5012</v>
      </c>
      <c r="E35" s="145" t="n">
        <f aca="false">B23</f>
        <v>6502.64</v>
      </c>
      <c r="F35" s="145" t="n">
        <f aca="false">$E35</f>
        <v>6502.64</v>
      </c>
      <c r="G35" s="145" t="n">
        <f aca="false">$E35</f>
        <v>6502.64</v>
      </c>
      <c r="H35" s="145" t="n">
        <f aca="false">$E35</f>
        <v>6502.64</v>
      </c>
      <c r="I35" s="145" t="n">
        <f aca="false">$E35</f>
        <v>6502.64</v>
      </c>
      <c r="J35" s="145" t="n">
        <f aca="false">$E35</f>
        <v>6502.64</v>
      </c>
      <c r="K35" s="145" t="n">
        <f aca="false">$E35</f>
        <v>6502.64</v>
      </c>
      <c r="L35" s="145" t="n">
        <f aca="false">$E35</f>
        <v>6502.64</v>
      </c>
      <c r="M35" s="145" t="n">
        <f aca="false">$E35</f>
        <v>6502.64</v>
      </c>
      <c r="N35" s="145" t="n">
        <f aca="false">$E35</f>
        <v>6502.64</v>
      </c>
      <c r="O35" s="145" t="n">
        <f aca="false">$E35</f>
        <v>6502.64</v>
      </c>
      <c r="P35" s="145" t="n">
        <f aca="false">$E35</f>
        <v>6502.64</v>
      </c>
      <c r="Q35" s="145" t="n">
        <f aca="false">$E35</f>
        <v>6502.64</v>
      </c>
      <c r="R35" s="145" t="n">
        <f aca="false">SUM(F35:Q35)</f>
        <v>78031.68</v>
      </c>
      <c r="S35" s="3" t="s">
        <v>2424</v>
      </c>
    </row>
    <row r="36" customFormat="false" ht="15" hidden="false" customHeight="false" outlineLevel="0" collapsed="false">
      <c r="A36" s="3" t="s">
        <v>2411</v>
      </c>
      <c r="B36" s="3" t="n">
        <f aca="false">C24</f>
        <v>5020</v>
      </c>
      <c r="E36" s="145" t="n">
        <f aca="false">B24</f>
        <v>19525.33</v>
      </c>
      <c r="F36" s="145" t="n">
        <f aca="false">$E36</f>
        <v>19525.33</v>
      </c>
      <c r="G36" s="145" t="n">
        <f aca="false">$E36</f>
        <v>19525.33</v>
      </c>
      <c r="H36" s="145" t="n">
        <f aca="false">$E36</f>
        <v>19525.33</v>
      </c>
      <c r="I36" s="145" t="n">
        <f aca="false">$E36</f>
        <v>19525.33</v>
      </c>
      <c r="J36" s="145" t="n">
        <f aca="false">$E36</f>
        <v>19525.33</v>
      </c>
      <c r="K36" s="145" t="n">
        <f aca="false">$E36</f>
        <v>19525.33</v>
      </c>
      <c r="L36" s="145" t="n">
        <f aca="false">$E36</f>
        <v>19525.33</v>
      </c>
      <c r="M36" s="145" t="n">
        <f aca="false">$E36</f>
        <v>19525.33</v>
      </c>
      <c r="N36" s="145" t="n">
        <f aca="false">$E36</f>
        <v>19525.33</v>
      </c>
      <c r="O36" s="145" t="n">
        <f aca="false">$E36</f>
        <v>19525.33</v>
      </c>
      <c r="P36" s="145" t="n">
        <f aca="false">$E36</f>
        <v>19525.33</v>
      </c>
      <c r="Q36" s="145" t="n">
        <f aca="false">$E36</f>
        <v>19525.33</v>
      </c>
      <c r="R36" s="145" t="n">
        <f aca="false">SUM(F36:Q36)</f>
        <v>234303.96</v>
      </c>
      <c r="S36" s="3" t="s">
        <v>2425</v>
      </c>
    </row>
    <row r="37" customFormat="false" ht="15" hidden="false" customHeight="false" outlineLevel="0" collapsed="false">
      <c r="A37" s="138" t="s">
        <v>2426</v>
      </c>
    </row>
    <row r="38" customFormat="false" ht="15" hidden="false" customHeight="false" outlineLevel="0" collapsed="false">
      <c r="A38" s="3" t="s">
        <v>2427</v>
      </c>
      <c r="B38" s="146" t="n">
        <f aca="false">$B$14</f>
        <v>5011</v>
      </c>
      <c r="C38" s="3" t="n">
        <v>1</v>
      </c>
      <c r="D38" s="86" t="n">
        <f aca="false">F$29</f>
        <v>20</v>
      </c>
      <c r="E38" s="145" t="n">
        <f aca="false">D38*$B$6*(1-$B$12)/$B$9</f>
        <v>15476.1904761905</v>
      </c>
      <c r="F38" s="145" t="n">
        <f aca="false">IF(AND(F$28&gt;=$C38+$B$13,F$28&lt;$C38+$B$13+$B$9),$E38,0)</f>
        <v>15476.1904761905</v>
      </c>
      <c r="G38" s="145" t="n">
        <f aca="false">IF(AND(G$28&gt;=$C38+$B$13,G$28&lt;$C38+$B$13+$B$9),$E38,0)</f>
        <v>15476.1904761905</v>
      </c>
      <c r="H38" s="145" t="n">
        <f aca="false">IF(AND(H$28&gt;=$C38+$B$13,H$28&lt;$C38+$B$13+$B$9),$E38,0)</f>
        <v>15476.1904761905</v>
      </c>
      <c r="I38" s="145" t="n">
        <f aca="false">IF(AND(I$28&gt;=$C38+$B$13,I$28&lt;$C38+$B$13+$B$9),$E38,0)</f>
        <v>15476.1904761905</v>
      </c>
      <c r="J38" s="145" t="n">
        <f aca="false">IF(AND(J$28&gt;=$C38+$B$13,J$28&lt;$C38+$B$13+$B$9),$E38,0)</f>
        <v>15476.1904761905</v>
      </c>
      <c r="K38" s="145" t="n">
        <f aca="false">IF(AND(K$28&gt;=$C38+$B$13,K$28&lt;$C38+$B$13+$B$9),$E38,0)</f>
        <v>15476.1904761905</v>
      </c>
      <c r="L38" s="145" t="n">
        <f aca="false">IF(AND(L$28&gt;=$C38+$B$13,L$28&lt;$C38+$B$13+$B$9),$E38,0)</f>
        <v>15476.1904761905</v>
      </c>
      <c r="M38" s="145" t="n">
        <f aca="false">IF(AND(M$28&gt;=$C38+$B$13,M$28&lt;$C38+$B$13+$B$9),$E38,0)</f>
        <v>15476.1904761905</v>
      </c>
      <c r="N38" s="145" t="n">
        <f aca="false">IF(AND(N$28&gt;=$C38+$B$13,N$28&lt;$C38+$B$13+$B$9),$E38,0)</f>
        <v>15476.1904761905</v>
      </c>
      <c r="O38" s="145" t="n">
        <f aca="false">IF(AND(O$28&gt;=$C38+$B$13,O$28&lt;$C38+$B$13+$B$9),$E38,0)</f>
        <v>15476.1904761905</v>
      </c>
      <c r="P38" s="145" t="n">
        <f aca="false">IF(AND(P$28&gt;=$C38+$B$13,P$28&lt;$C38+$B$13+$B$9),$E38,0)</f>
        <v>15476.1904761905</v>
      </c>
      <c r="Q38" s="145" t="n">
        <f aca="false">IF(AND(Q$28&gt;=$C38+$B$13,Q$28&lt;$C38+$B$13+$B$9),$E38,0)</f>
        <v>15476.1904761905</v>
      </c>
      <c r="R38" s="145" t="n">
        <f aca="false">SUM(F38:Q38)</f>
        <v>185714.285714286</v>
      </c>
      <c r="S38" s="3" t="s">
        <v>2428</v>
      </c>
    </row>
    <row r="39" customFormat="false" ht="15" hidden="false" customHeight="false" outlineLevel="0" collapsed="false">
      <c r="A39" s="3" t="s">
        <v>2429</v>
      </c>
      <c r="B39" s="146" t="n">
        <f aca="false">$B$14</f>
        <v>5011</v>
      </c>
      <c r="C39" s="3" t="n">
        <v>2</v>
      </c>
      <c r="D39" s="86" t="n">
        <f aca="false">G$29</f>
        <v>8</v>
      </c>
      <c r="E39" s="145" t="n">
        <f aca="false">D39*$B$6*(1-$B$12)/$B$9</f>
        <v>6190.47619047619</v>
      </c>
      <c r="F39" s="145" t="n">
        <f aca="false">IF(AND(F$28&gt;=$C39+$B$13,F$28&lt;$C39+$B$13+$B$9),$E39,0)</f>
        <v>0</v>
      </c>
      <c r="G39" s="145" t="n">
        <f aca="false">IF(AND(G$28&gt;=$C39+$B$13,G$28&lt;$C39+$B$13+$B$9),$E39,0)</f>
        <v>6190.47619047619</v>
      </c>
      <c r="H39" s="145" t="n">
        <f aca="false">IF(AND(H$28&gt;=$C39+$B$13,H$28&lt;$C39+$B$13+$B$9),$E39,0)</f>
        <v>6190.47619047619</v>
      </c>
      <c r="I39" s="145" t="n">
        <f aca="false">IF(AND(I$28&gt;=$C39+$B$13,I$28&lt;$C39+$B$13+$B$9),$E39,0)</f>
        <v>6190.47619047619</v>
      </c>
      <c r="J39" s="145" t="n">
        <f aca="false">IF(AND(J$28&gt;=$C39+$B$13,J$28&lt;$C39+$B$13+$B$9),$E39,0)</f>
        <v>6190.47619047619</v>
      </c>
      <c r="K39" s="145" t="n">
        <f aca="false">IF(AND(K$28&gt;=$C39+$B$13,K$28&lt;$C39+$B$13+$B$9),$E39,0)</f>
        <v>6190.47619047619</v>
      </c>
      <c r="L39" s="145" t="n">
        <f aca="false">IF(AND(L$28&gt;=$C39+$B$13,L$28&lt;$C39+$B$13+$B$9),$E39,0)</f>
        <v>6190.47619047619</v>
      </c>
      <c r="M39" s="145" t="n">
        <f aca="false">IF(AND(M$28&gt;=$C39+$B$13,M$28&lt;$C39+$B$13+$B$9),$E39,0)</f>
        <v>6190.47619047619</v>
      </c>
      <c r="N39" s="145" t="n">
        <f aca="false">IF(AND(N$28&gt;=$C39+$B$13,N$28&lt;$C39+$B$13+$B$9),$E39,0)</f>
        <v>6190.47619047619</v>
      </c>
      <c r="O39" s="145" t="n">
        <f aca="false">IF(AND(O$28&gt;=$C39+$B$13,O$28&lt;$C39+$B$13+$B$9),$E39,0)</f>
        <v>6190.47619047619</v>
      </c>
      <c r="P39" s="145" t="n">
        <f aca="false">IF(AND(P$28&gt;=$C39+$B$13,P$28&lt;$C39+$B$13+$B$9),$E39,0)</f>
        <v>6190.47619047619</v>
      </c>
      <c r="Q39" s="145" t="n">
        <f aca="false">IF(AND(Q$28&gt;=$C39+$B$13,Q$28&lt;$C39+$B$13+$B$9),$E39,0)</f>
        <v>6190.47619047619</v>
      </c>
      <c r="R39" s="145" t="n">
        <f aca="false">SUM(F39:Q39)</f>
        <v>68095.2380952381</v>
      </c>
    </row>
    <row r="40" customFormat="false" ht="15" hidden="false" customHeight="false" outlineLevel="0" collapsed="false">
      <c r="A40" s="3" t="s">
        <v>2430</v>
      </c>
      <c r="B40" s="146" t="n">
        <f aca="false">$B$14</f>
        <v>5011</v>
      </c>
      <c r="C40" s="3" t="n">
        <v>3</v>
      </c>
      <c r="D40" s="86" t="n">
        <f aca="false">H$29</f>
        <v>0</v>
      </c>
      <c r="E40" s="145" t="n">
        <f aca="false">D40*$B$6*(1-$B$12)/$B$9</f>
        <v>0</v>
      </c>
      <c r="F40" s="145" t="n">
        <f aca="false">IF(AND(F$28&gt;=$C40+$B$13,F$28&lt;$C40+$B$13+$B$9),$E40,0)</f>
        <v>0</v>
      </c>
      <c r="G40" s="145" t="n">
        <f aca="false">IF(AND(G$28&gt;=$C40+$B$13,G$28&lt;$C40+$B$13+$B$9),$E40,0)</f>
        <v>0</v>
      </c>
      <c r="H40" s="145" t="n">
        <f aca="false">IF(AND(H$28&gt;=$C40+$B$13,H$28&lt;$C40+$B$13+$B$9),$E40,0)</f>
        <v>0</v>
      </c>
      <c r="I40" s="145" t="n">
        <f aca="false">IF(AND(I$28&gt;=$C40+$B$13,I$28&lt;$C40+$B$13+$B$9),$E40,0)</f>
        <v>0</v>
      </c>
      <c r="J40" s="145" t="n">
        <f aca="false">IF(AND(J$28&gt;=$C40+$B$13,J$28&lt;$C40+$B$13+$B$9),$E40,0)</f>
        <v>0</v>
      </c>
      <c r="K40" s="145" t="n">
        <f aca="false">IF(AND(K$28&gt;=$C40+$B$13,K$28&lt;$C40+$B$13+$B$9),$E40,0)</f>
        <v>0</v>
      </c>
      <c r="L40" s="145" t="n">
        <f aca="false">IF(AND(L$28&gt;=$C40+$B$13,L$28&lt;$C40+$B$13+$B$9),$E40,0)</f>
        <v>0</v>
      </c>
      <c r="M40" s="145" t="n">
        <f aca="false">IF(AND(M$28&gt;=$C40+$B$13,M$28&lt;$C40+$B$13+$B$9),$E40,0)</f>
        <v>0</v>
      </c>
      <c r="N40" s="145" t="n">
        <f aca="false">IF(AND(N$28&gt;=$C40+$B$13,N$28&lt;$C40+$B$13+$B$9),$E40,0)</f>
        <v>0</v>
      </c>
      <c r="O40" s="145" t="n">
        <f aca="false">IF(AND(O$28&gt;=$C40+$B$13,O$28&lt;$C40+$B$13+$B$9),$E40,0)</f>
        <v>0</v>
      </c>
      <c r="P40" s="145" t="n">
        <f aca="false">IF(AND(P$28&gt;=$C40+$B$13,P$28&lt;$C40+$B$13+$B$9),$E40,0)</f>
        <v>0</v>
      </c>
      <c r="Q40" s="145" t="n">
        <f aca="false">IF(AND(Q$28&gt;=$C40+$B$13,Q$28&lt;$C40+$B$13+$B$9),$E40,0)</f>
        <v>0</v>
      </c>
      <c r="R40" s="145" t="n">
        <f aca="false">SUM(F40:Q40)</f>
        <v>0</v>
      </c>
    </row>
    <row r="41" customFormat="false" ht="15" hidden="false" customHeight="false" outlineLevel="0" collapsed="false">
      <c r="A41" s="3" t="s">
        <v>2431</v>
      </c>
      <c r="B41" s="146" t="n">
        <f aca="false">$B$14</f>
        <v>5011</v>
      </c>
      <c r="C41" s="3" t="n">
        <v>4</v>
      </c>
      <c r="D41" s="86" t="n">
        <f aca="false">I$29</f>
        <v>22</v>
      </c>
      <c r="E41" s="145" t="n">
        <f aca="false">D41*$B$6*(1-$B$12)/$B$9</f>
        <v>17023.8095238095</v>
      </c>
      <c r="F41" s="145" t="n">
        <f aca="false">IF(AND(F$28&gt;=$C41+$B$13,F$28&lt;$C41+$B$13+$B$9),$E41,0)</f>
        <v>0</v>
      </c>
      <c r="G41" s="145" t="n">
        <f aca="false">IF(AND(G$28&gt;=$C41+$B$13,G$28&lt;$C41+$B$13+$B$9),$E41,0)</f>
        <v>0</v>
      </c>
      <c r="H41" s="145" t="n">
        <f aca="false">IF(AND(H$28&gt;=$C41+$B$13,H$28&lt;$C41+$B$13+$B$9),$E41,0)</f>
        <v>0</v>
      </c>
      <c r="I41" s="145" t="n">
        <f aca="false">IF(AND(I$28&gt;=$C41+$B$13,I$28&lt;$C41+$B$13+$B$9),$E41,0)</f>
        <v>17023.8095238095</v>
      </c>
      <c r="J41" s="145" t="n">
        <f aca="false">IF(AND(J$28&gt;=$C41+$B$13,J$28&lt;$C41+$B$13+$B$9),$E41,0)</f>
        <v>17023.8095238095</v>
      </c>
      <c r="K41" s="145" t="n">
        <f aca="false">IF(AND(K$28&gt;=$C41+$B$13,K$28&lt;$C41+$B$13+$B$9),$E41,0)</f>
        <v>17023.8095238095</v>
      </c>
      <c r="L41" s="145" t="n">
        <f aca="false">IF(AND(L$28&gt;=$C41+$B$13,L$28&lt;$C41+$B$13+$B$9),$E41,0)</f>
        <v>17023.8095238095</v>
      </c>
      <c r="M41" s="145" t="n">
        <f aca="false">IF(AND(M$28&gt;=$C41+$B$13,M$28&lt;$C41+$B$13+$B$9),$E41,0)</f>
        <v>17023.8095238095</v>
      </c>
      <c r="N41" s="145" t="n">
        <f aca="false">IF(AND(N$28&gt;=$C41+$B$13,N$28&lt;$C41+$B$13+$B$9),$E41,0)</f>
        <v>17023.8095238095</v>
      </c>
      <c r="O41" s="145" t="n">
        <f aca="false">IF(AND(O$28&gt;=$C41+$B$13,O$28&lt;$C41+$B$13+$B$9),$E41,0)</f>
        <v>17023.8095238095</v>
      </c>
      <c r="P41" s="145" t="n">
        <f aca="false">IF(AND(P$28&gt;=$C41+$B$13,P$28&lt;$C41+$B$13+$B$9),$E41,0)</f>
        <v>17023.8095238095</v>
      </c>
      <c r="Q41" s="145" t="n">
        <f aca="false">IF(AND(Q$28&gt;=$C41+$B$13,Q$28&lt;$C41+$B$13+$B$9),$E41,0)</f>
        <v>17023.8095238095</v>
      </c>
      <c r="R41" s="145" t="n">
        <f aca="false">SUM(F41:Q41)</f>
        <v>153214.285714286</v>
      </c>
    </row>
    <row r="42" customFormat="false" ht="15" hidden="false" customHeight="false" outlineLevel="0" collapsed="false">
      <c r="A42" s="3" t="s">
        <v>2432</v>
      </c>
      <c r="B42" s="146" t="n">
        <f aca="false">$B$14</f>
        <v>5011</v>
      </c>
      <c r="C42" s="3" t="n">
        <v>5</v>
      </c>
      <c r="D42" s="86" t="n">
        <f aca="false">J$29</f>
        <v>14</v>
      </c>
      <c r="E42" s="145" t="n">
        <f aca="false">D42*$B$6*(1-$B$12)/$B$9</f>
        <v>10833.3333333333</v>
      </c>
      <c r="F42" s="145" t="n">
        <f aca="false">IF(AND(F$28&gt;=$C42+$B$13,F$28&lt;$C42+$B$13+$B$9),$E42,0)</f>
        <v>0</v>
      </c>
      <c r="G42" s="145" t="n">
        <f aca="false">IF(AND(G$28&gt;=$C42+$B$13,G$28&lt;$C42+$B$13+$B$9),$E42,0)</f>
        <v>0</v>
      </c>
      <c r="H42" s="145" t="n">
        <f aca="false">IF(AND(H$28&gt;=$C42+$B$13,H$28&lt;$C42+$B$13+$B$9),$E42,0)</f>
        <v>0</v>
      </c>
      <c r="I42" s="145" t="n">
        <f aca="false">IF(AND(I$28&gt;=$C42+$B$13,I$28&lt;$C42+$B$13+$B$9),$E42,0)</f>
        <v>0</v>
      </c>
      <c r="J42" s="145" t="n">
        <f aca="false">IF(AND(J$28&gt;=$C42+$B$13,J$28&lt;$C42+$B$13+$B$9),$E42,0)</f>
        <v>10833.3333333333</v>
      </c>
      <c r="K42" s="145" t="n">
        <f aca="false">IF(AND(K$28&gt;=$C42+$B$13,K$28&lt;$C42+$B$13+$B$9),$E42,0)</f>
        <v>10833.3333333333</v>
      </c>
      <c r="L42" s="145" t="n">
        <f aca="false">IF(AND(L$28&gt;=$C42+$B$13,L$28&lt;$C42+$B$13+$B$9),$E42,0)</f>
        <v>10833.3333333333</v>
      </c>
      <c r="M42" s="145" t="n">
        <f aca="false">IF(AND(M$28&gt;=$C42+$B$13,M$28&lt;$C42+$B$13+$B$9),$E42,0)</f>
        <v>10833.3333333333</v>
      </c>
      <c r="N42" s="145" t="n">
        <f aca="false">IF(AND(N$28&gt;=$C42+$B$13,N$28&lt;$C42+$B$13+$B$9),$E42,0)</f>
        <v>10833.3333333333</v>
      </c>
      <c r="O42" s="145" t="n">
        <f aca="false">IF(AND(O$28&gt;=$C42+$B$13,O$28&lt;$C42+$B$13+$B$9),$E42,0)</f>
        <v>10833.3333333333</v>
      </c>
      <c r="P42" s="145" t="n">
        <f aca="false">IF(AND(P$28&gt;=$C42+$B$13,P$28&lt;$C42+$B$13+$B$9),$E42,0)</f>
        <v>10833.3333333333</v>
      </c>
      <c r="Q42" s="145" t="n">
        <f aca="false">IF(AND(Q$28&gt;=$C42+$B$13,Q$28&lt;$C42+$B$13+$B$9),$E42,0)</f>
        <v>10833.3333333333</v>
      </c>
      <c r="R42" s="145" t="n">
        <f aca="false">SUM(F42:Q42)</f>
        <v>86666.6666666667</v>
      </c>
    </row>
    <row r="43" customFormat="false" ht="15" hidden="false" customHeight="false" outlineLevel="0" collapsed="false">
      <c r="A43" s="3" t="s">
        <v>2433</v>
      </c>
      <c r="B43" s="146" t="n">
        <f aca="false">$B$14</f>
        <v>5011</v>
      </c>
      <c r="C43" s="3" t="n">
        <v>6</v>
      </c>
      <c r="D43" s="86" t="n">
        <f aca="false">K$29</f>
        <v>20</v>
      </c>
      <c r="E43" s="145" t="n">
        <f aca="false">D43*$B$6*(1-$B$12)/$B$9</f>
        <v>15476.1904761905</v>
      </c>
      <c r="F43" s="145" t="n">
        <f aca="false">IF(AND(F$28&gt;=$C43+$B$13,F$28&lt;$C43+$B$13+$B$9),$E43,0)</f>
        <v>0</v>
      </c>
      <c r="G43" s="145" t="n">
        <f aca="false">IF(AND(G$28&gt;=$C43+$B$13,G$28&lt;$C43+$B$13+$B$9),$E43,0)</f>
        <v>0</v>
      </c>
      <c r="H43" s="145" t="n">
        <f aca="false">IF(AND(H$28&gt;=$C43+$B$13,H$28&lt;$C43+$B$13+$B$9),$E43,0)</f>
        <v>0</v>
      </c>
      <c r="I43" s="145" t="n">
        <f aca="false">IF(AND(I$28&gt;=$C43+$B$13,I$28&lt;$C43+$B$13+$B$9),$E43,0)</f>
        <v>0</v>
      </c>
      <c r="J43" s="145" t="n">
        <f aca="false">IF(AND(J$28&gt;=$C43+$B$13,J$28&lt;$C43+$B$13+$B$9),$E43,0)</f>
        <v>0</v>
      </c>
      <c r="K43" s="145" t="n">
        <f aca="false">IF(AND(K$28&gt;=$C43+$B$13,K$28&lt;$C43+$B$13+$B$9),$E43,0)</f>
        <v>15476.1904761905</v>
      </c>
      <c r="L43" s="145" t="n">
        <f aca="false">IF(AND(L$28&gt;=$C43+$B$13,L$28&lt;$C43+$B$13+$B$9),$E43,0)</f>
        <v>15476.1904761905</v>
      </c>
      <c r="M43" s="145" t="n">
        <f aca="false">IF(AND(M$28&gt;=$C43+$B$13,M$28&lt;$C43+$B$13+$B$9),$E43,0)</f>
        <v>15476.1904761905</v>
      </c>
      <c r="N43" s="145" t="n">
        <f aca="false">IF(AND(N$28&gt;=$C43+$B$13,N$28&lt;$C43+$B$13+$B$9),$E43,0)</f>
        <v>15476.1904761905</v>
      </c>
      <c r="O43" s="145" t="n">
        <f aca="false">IF(AND(O$28&gt;=$C43+$B$13,O$28&lt;$C43+$B$13+$B$9),$E43,0)</f>
        <v>15476.1904761905</v>
      </c>
      <c r="P43" s="145" t="n">
        <f aca="false">IF(AND(P$28&gt;=$C43+$B$13,P$28&lt;$C43+$B$13+$B$9),$E43,0)</f>
        <v>15476.1904761905</v>
      </c>
      <c r="Q43" s="145" t="n">
        <f aca="false">IF(AND(Q$28&gt;=$C43+$B$13,Q$28&lt;$C43+$B$13+$B$9),$E43,0)</f>
        <v>15476.1904761905</v>
      </c>
      <c r="R43" s="145" t="n">
        <f aca="false">SUM(F43:Q43)</f>
        <v>108333.333333333</v>
      </c>
    </row>
    <row r="44" customFormat="false" ht="15" hidden="false" customHeight="false" outlineLevel="0" collapsed="false">
      <c r="A44" s="3" t="s">
        <v>2434</v>
      </c>
      <c r="B44" s="146" t="n">
        <f aca="false">$B$14</f>
        <v>5011</v>
      </c>
      <c r="C44" s="3" t="n">
        <v>7</v>
      </c>
      <c r="D44" s="86" t="n">
        <f aca="false">L$29</f>
        <v>18</v>
      </c>
      <c r="E44" s="145" t="n">
        <f aca="false">D44*$B$6*(1-$B$12)/$B$9</f>
        <v>13928.5714285714</v>
      </c>
      <c r="F44" s="145" t="n">
        <f aca="false">IF(AND(F$28&gt;=$C44+$B$13,F$28&lt;$C44+$B$13+$B$9),$E44,0)</f>
        <v>0</v>
      </c>
      <c r="G44" s="145" t="n">
        <f aca="false">IF(AND(G$28&gt;=$C44+$B$13,G$28&lt;$C44+$B$13+$B$9),$E44,0)</f>
        <v>0</v>
      </c>
      <c r="H44" s="145" t="n">
        <f aca="false">IF(AND(H$28&gt;=$C44+$B$13,H$28&lt;$C44+$B$13+$B$9),$E44,0)</f>
        <v>0</v>
      </c>
      <c r="I44" s="145" t="n">
        <f aca="false">IF(AND(I$28&gt;=$C44+$B$13,I$28&lt;$C44+$B$13+$B$9),$E44,0)</f>
        <v>0</v>
      </c>
      <c r="J44" s="145" t="n">
        <f aca="false">IF(AND(J$28&gt;=$C44+$B$13,J$28&lt;$C44+$B$13+$B$9),$E44,0)</f>
        <v>0</v>
      </c>
      <c r="K44" s="145" t="n">
        <f aca="false">IF(AND(K$28&gt;=$C44+$B$13,K$28&lt;$C44+$B$13+$B$9),$E44,0)</f>
        <v>0</v>
      </c>
      <c r="L44" s="145" t="n">
        <f aca="false">IF(AND(L$28&gt;=$C44+$B$13,L$28&lt;$C44+$B$13+$B$9),$E44,0)</f>
        <v>13928.5714285714</v>
      </c>
      <c r="M44" s="145" t="n">
        <f aca="false">IF(AND(M$28&gt;=$C44+$B$13,M$28&lt;$C44+$B$13+$B$9),$E44,0)</f>
        <v>13928.5714285714</v>
      </c>
      <c r="N44" s="145" t="n">
        <f aca="false">IF(AND(N$28&gt;=$C44+$B$13,N$28&lt;$C44+$B$13+$B$9),$E44,0)</f>
        <v>13928.5714285714</v>
      </c>
      <c r="O44" s="145" t="n">
        <f aca="false">IF(AND(O$28&gt;=$C44+$B$13,O$28&lt;$C44+$B$13+$B$9),$E44,0)</f>
        <v>13928.5714285714</v>
      </c>
      <c r="P44" s="145" t="n">
        <f aca="false">IF(AND(P$28&gt;=$C44+$B$13,P$28&lt;$C44+$B$13+$B$9),$E44,0)</f>
        <v>13928.5714285714</v>
      </c>
      <c r="Q44" s="145" t="n">
        <f aca="false">IF(AND(Q$28&gt;=$C44+$B$13,Q$28&lt;$C44+$B$13+$B$9),$E44,0)</f>
        <v>13928.5714285714</v>
      </c>
      <c r="R44" s="145" t="n">
        <f aca="false">SUM(F44:Q44)</f>
        <v>83571.4285714286</v>
      </c>
    </row>
    <row r="45" customFormat="false" ht="15" hidden="false" customHeight="false" outlineLevel="0" collapsed="false">
      <c r="A45" s="3" t="s">
        <v>2435</v>
      </c>
      <c r="B45" s="146" t="n">
        <f aca="false">$B$14</f>
        <v>5011</v>
      </c>
      <c r="C45" s="3" t="n">
        <v>8</v>
      </c>
      <c r="D45" s="86" t="n">
        <f aca="false">M$29</f>
        <v>22</v>
      </c>
      <c r="E45" s="145" t="n">
        <f aca="false">D45*$B$6*(1-$B$12)/$B$9</f>
        <v>17023.8095238095</v>
      </c>
      <c r="F45" s="145" t="n">
        <f aca="false">IF(AND(F$28&gt;=$C45+$B$13,F$28&lt;$C45+$B$13+$B$9),$E45,0)</f>
        <v>0</v>
      </c>
      <c r="G45" s="145" t="n">
        <f aca="false">IF(AND(G$28&gt;=$C45+$B$13,G$28&lt;$C45+$B$13+$B$9),$E45,0)</f>
        <v>0</v>
      </c>
      <c r="H45" s="145" t="n">
        <f aca="false">IF(AND(H$28&gt;=$C45+$B$13,H$28&lt;$C45+$B$13+$B$9),$E45,0)</f>
        <v>0</v>
      </c>
      <c r="I45" s="145" t="n">
        <f aca="false">IF(AND(I$28&gt;=$C45+$B$13,I$28&lt;$C45+$B$13+$B$9),$E45,0)</f>
        <v>0</v>
      </c>
      <c r="J45" s="145" t="n">
        <f aca="false">IF(AND(J$28&gt;=$C45+$B$13,J$28&lt;$C45+$B$13+$B$9),$E45,0)</f>
        <v>0</v>
      </c>
      <c r="K45" s="145" t="n">
        <f aca="false">IF(AND(K$28&gt;=$C45+$B$13,K$28&lt;$C45+$B$13+$B$9),$E45,0)</f>
        <v>0</v>
      </c>
      <c r="L45" s="145" t="n">
        <f aca="false">IF(AND(L$28&gt;=$C45+$B$13,L$28&lt;$C45+$B$13+$B$9),$E45,0)</f>
        <v>0</v>
      </c>
      <c r="M45" s="145" t="n">
        <f aca="false">IF(AND(M$28&gt;=$C45+$B$13,M$28&lt;$C45+$B$13+$B$9),$E45,0)</f>
        <v>17023.8095238095</v>
      </c>
      <c r="N45" s="145" t="n">
        <f aca="false">IF(AND(N$28&gt;=$C45+$B$13,N$28&lt;$C45+$B$13+$B$9),$E45,0)</f>
        <v>17023.8095238095</v>
      </c>
      <c r="O45" s="145" t="n">
        <f aca="false">IF(AND(O$28&gt;=$C45+$B$13,O$28&lt;$C45+$B$13+$B$9),$E45,0)</f>
        <v>17023.8095238095</v>
      </c>
      <c r="P45" s="145" t="n">
        <f aca="false">IF(AND(P$28&gt;=$C45+$B$13,P$28&lt;$C45+$B$13+$B$9),$E45,0)</f>
        <v>17023.8095238095</v>
      </c>
      <c r="Q45" s="145" t="n">
        <f aca="false">IF(AND(Q$28&gt;=$C45+$B$13,Q$28&lt;$C45+$B$13+$B$9),$E45,0)</f>
        <v>17023.8095238095</v>
      </c>
      <c r="R45" s="145" t="n">
        <f aca="false">SUM(F45:Q45)</f>
        <v>85119.0476190476</v>
      </c>
    </row>
    <row r="46" customFormat="false" ht="15" hidden="false" customHeight="false" outlineLevel="0" collapsed="false">
      <c r="A46" s="3" t="s">
        <v>2436</v>
      </c>
      <c r="B46" s="146" t="n">
        <f aca="false">$B$14</f>
        <v>5011</v>
      </c>
      <c r="C46" s="3" t="n">
        <v>9</v>
      </c>
      <c r="D46" s="86" t="n">
        <f aca="false">N$29</f>
        <v>28</v>
      </c>
      <c r="E46" s="145" t="n">
        <f aca="false">D46*$B$6*(1-$B$12)/$B$9</f>
        <v>21666.6666666667</v>
      </c>
      <c r="F46" s="145" t="n">
        <f aca="false">IF(AND(F$28&gt;=$C46+$B$13,F$28&lt;$C46+$B$13+$B$9),$E46,0)</f>
        <v>0</v>
      </c>
      <c r="G46" s="145" t="n">
        <f aca="false">IF(AND(G$28&gt;=$C46+$B$13,G$28&lt;$C46+$B$13+$B$9),$E46,0)</f>
        <v>0</v>
      </c>
      <c r="H46" s="145" t="n">
        <f aca="false">IF(AND(H$28&gt;=$C46+$B$13,H$28&lt;$C46+$B$13+$B$9),$E46,0)</f>
        <v>0</v>
      </c>
      <c r="I46" s="145" t="n">
        <f aca="false">IF(AND(I$28&gt;=$C46+$B$13,I$28&lt;$C46+$B$13+$B$9),$E46,0)</f>
        <v>0</v>
      </c>
      <c r="J46" s="145" t="n">
        <f aca="false">IF(AND(J$28&gt;=$C46+$B$13,J$28&lt;$C46+$B$13+$B$9),$E46,0)</f>
        <v>0</v>
      </c>
      <c r="K46" s="145" t="n">
        <f aca="false">IF(AND(K$28&gt;=$C46+$B$13,K$28&lt;$C46+$B$13+$B$9),$E46,0)</f>
        <v>0</v>
      </c>
      <c r="L46" s="145" t="n">
        <f aca="false">IF(AND(L$28&gt;=$C46+$B$13,L$28&lt;$C46+$B$13+$B$9),$E46,0)</f>
        <v>0</v>
      </c>
      <c r="M46" s="145" t="n">
        <f aca="false">IF(AND(M$28&gt;=$C46+$B$13,M$28&lt;$C46+$B$13+$B$9),$E46,0)</f>
        <v>0</v>
      </c>
      <c r="N46" s="145" t="n">
        <f aca="false">IF(AND(N$28&gt;=$C46+$B$13,N$28&lt;$C46+$B$13+$B$9),$E46,0)</f>
        <v>21666.6666666667</v>
      </c>
      <c r="O46" s="145" t="n">
        <f aca="false">IF(AND(O$28&gt;=$C46+$B$13,O$28&lt;$C46+$B$13+$B$9),$E46,0)</f>
        <v>21666.6666666667</v>
      </c>
      <c r="P46" s="145" t="n">
        <f aca="false">IF(AND(P$28&gt;=$C46+$B$13,P$28&lt;$C46+$B$13+$B$9),$E46,0)</f>
        <v>21666.6666666667</v>
      </c>
      <c r="Q46" s="145" t="n">
        <f aca="false">IF(AND(Q$28&gt;=$C46+$B$13,Q$28&lt;$C46+$B$13+$B$9),$E46,0)</f>
        <v>21666.6666666667</v>
      </c>
      <c r="R46" s="145" t="n">
        <f aca="false">SUM(F46:Q46)</f>
        <v>86666.6666666667</v>
      </c>
    </row>
    <row r="47" customFormat="false" ht="15" hidden="false" customHeight="false" outlineLevel="0" collapsed="false">
      <c r="A47" s="3" t="s">
        <v>2437</v>
      </c>
      <c r="B47" s="146" t="n">
        <f aca="false">$B$14</f>
        <v>5011</v>
      </c>
      <c r="C47" s="3" t="n">
        <v>10</v>
      </c>
      <c r="D47" s="86" t="n">
        <f aca="false">O$29</f>
        <v>28</v>
      </c>
      <c r="E47" s="145" t="n">
        <f aca="false">D47*$B$6*(1-$B$12)/$B$9</f>
        <v>21666.6666666667</v>
      </c>
      <c r="F47" s="145" t="n">
        <f aca="false">IF(AND(F$28&gt;=$C47+$B$13,F$28&lt;$C47+$B$13+$B$9),$E47,0)</f>
        <v>0</v>
      </c>
      <c r="G47" s="145" t="n">
        <f aca="false">IF(AND(G$28&gt;=$C47+$B$13,G$28&lt;$C47+$B$13+$B$9),$E47,0)</f>
        <v>0</v>
      </c>
      <c r="H47" s="145" t="n">
        <f aca="false">IF(AND(H$28&gt;=$C47+$B$13,H$28&lt;$C47+$B$13+$B$9),$E47,0)</f>
        <v>0</v>
      </c>
      <c r="I47" s="145" t="n">
        <f aca="false">IF(AND(I$28&gt;=$C47+$B$13,I$28&lt;$C47+$B$13+$B$9),$E47,0)</f>
        <v>0</v>
      </c>
      <c r="J47" s="145" t="n">
        <f aca="false">IF(AND(J$28&gt;=$C47+$B$13,J$28&lt;$C47+$B$13+$B$9),$E47,0)</f>
        <v>0</v>
      </c>
      <c r="K47" s="145" t="n">
        <f aca="false">IF(AND(K$28&gt;=$C47+$B$13,K$28&lt;$C47+$B$13+$B$9),$E47,0)</f>
        <v>0</v>
      </c>
      <c r="L47" s="145" t="n">
        <f aca="false">IF(AND(L$28&gt;=$C47+$B$13,L$28&lt;$C47+$B$13+$B$9),$E47,0)</f>
        <v>0</v>
      </c>
      <c r="M47" s="145" t="n">
        <f aca="false">IF(AND(M$28&gt;=$C47+$B$13,M$28&lt;$C47+$B$13+$B$9),$E47,0)</f>
        <v>0</v>
      </c>
      <c r="N47" s="145" t="n">
        <f aca="false">IF(AND(N$28&gt;=$C47+$B$13,N$28&lt;$C47+$B$13+$B$9),$E47,0)</f>
        <v>0</v>
      </c>
      <c r="O47" s="145" t="n">
        <f aca="false">IF(AND(O$28&gt;=$C47+$B$13,O$28&lt;$C47+$B$13+$B$9),$E47,0)</f>
        <v>21666.6666666667</v>
      </c>
      <c r="P47" s="145" t="n">
        <f aca="false">IF(AND(P$28&gt;=$C47+$B$13,P$28&lt;$C47+$B$13+$B$9),$E47,0)</f>
        <v>21666.6666666667</v>
      </c>
      <c r="Q47" s="145" t="n">
        <f aca="false">IF(AND(Q$28&gt;=$C47+$B$13,Q$28&lt;$C47+$B$13+$B$9),$E47,0)</f>
        <v>21666.6666666667</v>
      </c>
      <c r="R47" s="145" t="n">
        <f aca="false">SUM(F47:Q47)</f>
        <v>65000</v>
      </c>
    </row>
    <row r="48" customFormat="false" ht="15" hidden="false" customHeight="false" outlineLevel="0" collapsed="false">
      <c r="A48" s="3" t="s">
        <v>2438</v>
      </c>
      <c r="B48" s="146" t="n">
        <f aca="false">$B$14</f>
        <v>5011</v>
      </c>
      <c r="C48" s="3" t="n">
        <v>11</v>
      </c>
      <c r="D48" s="86" t="n">
        <f aca="false">P$29</f>
        <v>34</v>
      </c>
      <c r="E48" s="145" t="n">
        <f aca="false">D48*$B$6*(1-$B$12)/$B$9</f>
        <v>26309.5238095238</v>
      </c>
      <c r="F48" s="145" t="n">
        <f aca="false">IF(AND(F$28&gt;=$C48+$B$13,F$28&lt;$C48+$B$13+$B$9),$E48,0)</f>
        <v>0</v>
      </c>
      <c r="G48" s="145" t="n">
        <f aca="false">IF(AND(G$28&gt;=$C48+$B$13,G$28&lt;$C48+$B$13+$B$9),$E48,0)</f>
        <v>0</v>
      </c>
      <c r="H48" s="145" t="n">
        <f aca="false">IF(AND(H$28&gt;=$C48+$B$13,H$28&lt;$C48+$B$13+$B$9),$E48,0)</f>
        <v>0</v>
      </c>
      <c r="I48" s="145" t="n">
        <f aca="false">IF(AND(I$28&gt;=$C48+$B$13,I$28&lt;$C48+$B$13+$B$9),$E48,0)</f>
        <v>0</v>
      </c>
      <c r="J48" s="145" t="n">
        <f aca="false">IF(AND(J$28&gt;=$C48+$B$13,J$28&lt;$C48+$B$13+$B$9),$E48,0)</f>
        <v>0</v>
      </c>
      <c r="K48" s="145" t="n">
        <f aca="false">IF(AND(K$28&gt;=$C48+$B$13,K$28&lt;$C48+$B$13+$B$9),$E48,0)</f>
        <v>0</v>
      </c>
      <c r="L48" s="145" t="n">
        <f aca="false">IF(AND(L$28&gt;=$C48+$B$13,L$28&lt;$C48+$B$13+$B$9),$E48,0)</f>
        <v>0</v>
      </c>
      <c r="M48" s="145" t="n">
        <f aca="false">IF(AND(M$28&gt;=$C48+$B$13,M$28&lt;$C48+$B$13+$B$9),$E48,0)</f>
        <v>0</v>
      </c>
      <c r="N48" s="145" t="n">
        <f aca="false">IF(AND(N$28&gt;=$C48+$B$13,N$28&lt;$C48+$B$13+$B$9),$E48,0)</f>
        <v>0</v>
      </c>
      <c r="O48" s="145" t="n">
        <f aca="false">IF(AND(O$28&gt;=$C48+$B$13,O$28&lt;$C48+$B$13+$B$9),$E48,0)</f>
        <v>0</v>
      </c>
      <c r="P48" s="145" t="n">
        <f aca="false">IF(AND(P$28&gt;=$C48+$B$13,P$28&lt;$C48+$B$13+$B$9),$E48,0)</f>
        <v>26309.5238095238</v>
      </c>
      <c r="Q48" s="145" t="n">
        <f aca="false">IF(AND(Q$28&gt;=$C48+$B$13,Q$28&lt;$C48+$B$13+$B$9),$E48,0)</f>
        <v>26309.5238095238</v>
      </c>
      <c r="R48" s="145" t="n">
        <f aca="false">SUM(F48:Q48)</f>
        <v>52619.0476190476</v>
      </c>
    </row>
    <row r="49" customFormat="false" ht="15" hidden="false" customHeight="false" outlineLevel="0" collapsed="false">
      <c r="A49" s="3" t="s">
        <v>2439</v>
      </c>
      <c r="B49" s="146" t="n">
        <f aca="false">$B$14</f>
        <v>5011</v>
      </c>
      <c r="C49" s="3" t="n">
        <v>12</v>
      </c>
      <c r="D49" s="86" t="n">
        <f aca="false">Q$29</f>
        <v>36</v>
      </c>
      <c r="E49" s="145" t="n">
        <f aca="false">D49*$B$6*(1-$B$12)/$B$9</f>
        <v>27857.1428571429</v>
      </c>
      <c r="F49" s="145" t="n">
        <f aca="false">IF(AND(F$28&gt;=$C49+$B$13,F$28&lt;$C49+$B$13+$B$9),$E49,0)</f>
        <v>0</v>
      </c>
      <c r="G49" s="145" t="n">
        <f aca="false">IF(AND(G$28&gt;=$C49+$B$13,G$28&lt;$C49+$B$13+$B$9),$E49,0)</f>
        <v>0</v>
      </c>
      <c r="H49" s="145" t="n">
        <f aca="false">IF(AND(H$28&gt;=$C49+$B$13,H$28&lt;$C49+$B$13+$B$9),$E49,0)</f>
        <v>0</v>
      </c>
      <c r="I49" s="145" t="n">
        <f aca="false">IF(AND(I$28&gt;=$C49+$B$13,I$28&lt;$C49+$B$13+$B$9),$E49,0)</f>
        <v>0</v>
      </c>
      <c r="J49" s="145" t="n">
        <f aca="false">IF(AND(J$28&gt;=$C49+$B$13,J$28&lt;$C49+$B$13+$B$9),$E49,0)</f>
        <v>0</v>
      </c>
      <c r="K49" s="145" t="n">
        <f aca="false">IF(AND(K$28&gt;=$C49+$B$13,K$28&lt;$C49+$B$13+$B$9),$E49,0)</f>
        <v>0</v>
      </c>
      <c r="L49" s="145" t="n">
        <f aca="false">IF(AND(L$28&gt;=$C49+$B$13,L$28&lt;$C49+$B$13+$B$9),$E49,0)</f>
        <v>0</v>
      </c>
      <c r="M49" s="145" t="n">
        <f aca="false">IF(AND(M$28&gt;=$C49+$B$13,M$28&lt;$C49+$B$13+$B$9),$E49,0)</f>
        <v>0</v>
      </c>
      <c r="N49" s="145" t="n">
        <f aca="false">IF(AND(N$28&gt;=$C49+$B$13,N$28&lt;$C49+$B$13+$B$9),$E49,0)</f>
        <v>0</v>
      </c>
      <c r="O49" s="145" t="n">
        <f aca="false">IF(AND(O$28&gt;=$C49+$B$13,O$28&lt;$C49+$B$13+$B$9),$E49,0)</f>
        <v>0</v>
      </c>
      <c r="P49" s="145" t="n">
        <f aca="false">IF(AND(P$28&gt;=$C49+$B$13,P$28&lt;$C49+$B$13+$B$9),$E49,0)</f>
        <v>0</v>
      </c>
      <c r="Q49" s="145" t="n">
        <f aca="false">IF(AND(Q$28&gt;=$C49+$B$13,Q$28&lt;$C49+$B$13+$B$9),$E49,0)</f>
        <v>27857.1428571429</v>
      </c>
      <c r="R49" s="145" t="n">
        <f aca="false">SUM(F49:Q49)</f>
        <v>27857.1428571429</v>
      </c>
    </row>
    <row r="50" customFormat="false" ht="15" hidden="false" customHeight="false" outlineLevel="0" collapsed="false">
      <c r="A50" s="138" t="s">
        <v>2440</v>
      </c>
    </row>
    <row r="51" customFormat="false" ht="15" hidden="false" customHeight="false" outlineLevel="0" collapsed="false">
      <c r="A51" s="3" t="s">
        <v>2441</v>
      </c>
      <c r="B51" s="146" t="n">
        <f aca="false">$B$15</f>
        <v>5012</v>
      </c>
      <c r="C51" s="3" t="n">
        <v>1</v>
      </c>
      <c r="D51" s="86" t="n">
        <f aca="false">F$30</f>
        <v>60</v>
      </c>
      <c r="E51" s="145" t="n">
        <f aca="false">D51*$B$8*(1-$B$12)/$B$10</f>
        <v>4000</v>
      </c>
      <c r="F51" s="145" t="n">
        <f aca="false">IF(AND(F$28&gt;=$C51+$B$13,F$28&lt;$C51+$B$13+$B$10),$E51,0)</f>
        <v>4000</v>
      </c>
      <c r="G51" s="145" t="n">
        <f aca="false">IF(AND(G$28&gt;=$C51+$B$13,G$28&lt;$C51+$B$13+$B$10),$E51,0)</f>
        <v>4000</v>
      </c>
      <c r="H51" s="145" t="n">
        <f aca="false">IF(AND(H$28&gt;=$C51+$B$13,H$28&lt;$C51+$B$13+$B$10),$E51,0)</f>
        <v>4000</v>
      </c>
      <c r="I51" s="145" t="n">
        <f aca="false">IF(AND(I$28&gt;=$C51+$B$13,I$28&lt;$C51+$B$13+$B$10),$E51,0)</f>
        <v>4000</v>
      </c>
      <c r="J51" s="145" t="n">
        <f aca="false">IF(AND(J$28&gt;=$C51+$B$13,J$28&lt;$C51+$B$13+$B$10),$E51,0)</f>
        <v>4000</v>
      </c>
      <c r="K51" s="145" t="n">
        <f aca="false">IF(AND(K$28&gt;=$C51+$B$13,K$28&lt;$C51+$B$13+$B$10),$E51,0)</f>
        <v>4000</v>
      </c>
      <c r="L51" s="145" t="n">
        <f aca="false">IF(AND(L$28&gt;=$C51+$B$13,L$28&lt;$C51+$B$13+$B$10),$E51,0)</f>
        <v>4000</v>
      </c>
      <c r="M51" s="145" t="n">
        <f aca="false">IF(AND(M$28&gt;=$C51+$B$13,M$28&lt;$C51+$B$13+$B$10),$E51,0)</f>
        <v>4000</v>
      </c>
      <c r="N51" s="145" t="n">
        <f aca="false">IF(AND(N$28&gt;=$C51+$B$13,N$28&lt;$C51+$B$13+$B$10),$E51,0)</f>
        <v>4000</v>
      </c>
      <c r="O51" s="145" t="n">
        <f aca="false">IF(AND(O$28&gt;=$C51+$B$13,O$28&lt;$C51+$B$13+$B$10),$E51,0)</f>
        <v>4000</v>
      </c>
      <c r="P51" s="145" t="n">
        <f aca="false">IF(AND(P$28&gt;=$C51+$B$13,P$28&lt;$C51+$B$13+$B$10),$E51,0)</f>
        <v>4000</v>
      </c>
      <c r="Q51" s="145" t="n">
        <f aca="false">IF(AND(Q$28&gt;=$C51+$B$13,Q$28&lt;$C51+$B$13+$B$10),$E51,0)</f>
        <v>4000</v>
      </c>
      <c r="R51" s="145" t="n">
        <f aca="false">SUM(F51:Q51)</f>
        <v>48000</v>
      </c>
      <c r="S51" s="3" t="s">
        <v>2428</v>
      </c>
    </row>
    <row r="52" customFormat="false" ht="15" hidden="false" customHeight="false" outlineLevel="0" collapsed="false">
      <c r="A52" s="3" t="s">
        <v>2442</v>
      </c>
      <c r="B52" s="146" t="n">
        <f aca="false">$B$15</f>
        <v>5012</v>
      </c>
      <c r="C52" s="3" t="n">
        <v>2</v>
      </c>
      <c r="D52" s="86" t="n">
        <f aca="false">G$30</f>
        <v>24</v>
      </c>
      <c r="E52" s="145" t="n">
        <f aca="false">D52*$B$8*(1-$B$12)/$B$10</f>
        <v>1600</v>
      </c>
      <c r="F52" s="145" t="n">
        <f aca="false">IF(AND(F$28&gt;=$C52+$B$13,F$28&lt;$C52+$B$13+$B$10),$E52,0)</f>
        <v>0</v>
      </c>
      <c r="G52" s="145" t="n">
        <f aca="false">IF(AND(G$28&gt;=$C52+$B$13,G$28&lt;$C52+$B$13+$B$10),$E52,0)</f>
        <v>1600</v>
      </c>
      <c r="H52" s="145" t="n">
        <f aca="false">IF(AND(H$28&gt;=$C52+$B$13,H$28&lt;$C52+$B$13+$B$10),$E52,0)</f>
        <v>1600</v>
      </c>
      <c r="I52" s="145" t="n">
        <f aca="false">IF(AND(I$28&gt;=$C52+$B$13,I$28&lt;$C52+$B$13+$B$10),$E52,0)</f>
        <v>1600</v>
      </c>
      <c r="J52" s="145" t="n">
        <f aca="false">IF(AND(J$28&gt;=$C52+$B$13,J$28&lt;$C52+$B$13+$B$10),$E52,0)</f>
        <v>1600</v>
      </c>
      <c r="K52" s="145" t="n">
        <f aca="false">IF(AND(K$28&gt;=$C52+$B$13,K$28&lt;$C52+$B$13+$B$10),$E52,0)</f>
        <v>1600</v>
      </c>
      <c r="L52" s="145" t="n">
        <f aca="false">IF(AND(L$28&gt;=$C52+$B$13,L$28&lt;$C52+$B$13+$B$10),$E52,0)</f>
        <v>1600</v>
      </c>
      <c r="M52" s="145" t="n">
        <f aca="false">IF(AND(M$28&gt;=$C52+$B$13,M$28&lt;$C52+$B$13+$B$10),$E52,0)</f>
        <v>1600</v>
      </c>
      <c r="N52" s="145" t="n">
        <f aca="false">IF(AND(N$28&gt;=$C52+$B$13,N$28&lt;$C52+$B$13+$B$10),$E52,0)</f>
        <v>1600</v>
      </c>
      <c r="O52" s="145" t="n">
        <f aca="false">IF(AND(O$28&gt;=$C52+$B$13,O$28&lt;$C52+$B$13+$B$10),$E52,0)</f>
        <v>1600</v>
      </c>
      <c r="P52" s="145" t="n">
        <f aca="false">IF(AND(P$28&gt;=$C52+$B$13,P$28&lt;$C52+$B$13+$B$10),$E52,0)</f>
        <v>1600</v>
      </c>
      <c r="Q52" s="145" t="n">
        <f aca="false">IF(AND(Q$28&gt;=$C52+$B$13,Q$28&lt;$C52+$B$13+$B$10),$E52,0)</f>
        <v>1600</v>
      </c>
      <c r="R52" s="145" t="n">
        <f aca="false">SUM(F52:Q52)</f>
        <v>17600</v>
      </c>
    </row>
    <row r="53" customFormat="false" ht="15" hidden="false" customHeight="false" outlineLevel="0" collapsed="false">
      <c r="A53" s="3" t="s">
        <v>2443</v>
      </c>
      <c r="B53" s="146" t="n">
        <f aca="false">$B$15</f>
        <v>5012</v>
      </c>
      <c r="C53" s="3" t="n">
        <v>3</v>
      </c>
      <c r="D53" s="86" t="n">
        <f aca="false">H$30</f>
        <v>0</v>
      </c>
      <c r="E53" s="145" t="n">
        <f aca="false">D53*$B$8*(1-$B$12)/$B$10</f>
        <v>0</v>
      </c>
      <c r="F53" s="145" t="n">
        <f aca="false">IF(AND(F$28&gt;=$C53+$B$13,F$28&lt;$C53+$B$13+$B$10),$E53,0)</f>
        <v>0</v>
      </c>
      <c r="G53" s="145" t="n">
        <f aca="false">IF(AND(G$28&gt;=$C53+$B$13,G$28&lt;$C53+$B$13+$B$10),$E53,0)</f>
        <v>0</v>
      </c>
      <c r="H53" s="145" t="n">
        <f aca="false">IF(AND(H$28&gt;=$C53+$B$13,H$28&lt;$C53+$B$13+$B$10),$E53,0)</f>
        <v>0</v>
      </c>
      <c r="I53" s="145" t="n">
        <f aca="false">IF(AND(I$28&gt;=$C53+$B$13,I$28&lt;$C53+$B$13+$B$10),$E53,0)</f>
        <v>0</v>
      </c>
      <c r="J53" s="145" t="n">
        <f aca="false">IF(AND(J$28&gt;=$C53+$B$13,J$28&lt;$C53+$B$13+$B$10),$E53,0)</f>
        <v>0</v>
      </c>
      <c r="K53" s="145" t="n">
        <f aca="false">IF(AND(K$28&gt;=$C53+$B$13,K$28&lt;$C53+$B$13+$B$10),$E53,0)</f>
        <v>0</v>
      </c>
      <c r="L53" s="145" t="n">
        <f aca="false">IF(AND(L$28&gt;=$C53+$B$13,L$28&lt;$C53+$B$13+$B$10),$E53,0)</f>
        <v>0</v>
      </c>
      <c r="M53" s="145" t="n">
        <f aca="false">IF(AND(M$28&gt;=$C53+$B$13,M$28&lt;$C53+$B$13+$B$10),$E53,0)</f>
        <v>0</v>
      </c>
      <c r="N53" s="145" t="n">
        <f aca="false">IF(AND(N$28&gt;=$C53+$B$13,N$28&lt;$C53+$B$13+$B$10),$E53,0)</f>
        <v>0</v>
      </c>
      <c r="O53" s="145" t="n">
        <f aca="false">IF(AND(O$28&gt;=$C53+$B$13,O$28&lt;$C53+$B$13+$B$10),$E53,0)</f>
        <v>0</v>
      </c>
      <c r="P53" s="145" t="n">
        <f aca="false">IF(AND(P$28&gt;=$C53+$B$13,P$28&lt;$C53+$B$13+$B$10),$E53,0)</f>
        <v>0</v>
      </c>
      <c r="Q53" s="145" t="n">
        <f aca="false">IF(AND(Q$28&gt;=$C53+$B$13,Q$28&lt;$C53+$B$13+$B$10),$E53,0)</f>
        <v>0</v>
      </c>
      <c r="R53" s="145" t="n">
        <f aca="false">SUM(F53:Q53)</f>
        <v>0</v>
      </c>
    </row>
    <row r="54" customFormat="false" ht="15" hidden="false" customHeight="false" outlineLevel="0" collapsed="false">
      <c r="A54" s="3" t="s">
        <v>2444</v>
      </c>
      <c r="B54" s="146" t="n">
        <f aca="false">$B$15</f>
        <v>5012</v>
      </c>
      <c r="C54" s="3" t="n">
        <v>4</v>
      </c>
      <c r="D54" s="86" t="n">
        <f aca="false">I$30</f>
        <v>86</v>
      </c>
      <c r="E54" s="145" t="n">
        <f aca="false">D54*$B$8*(1-$B$12)/$B$10</f>
        <v>5733.33333333333</v>
      </c>
      <c r="F54" s="145" t="n">
        <f aca="false">IF(AND(F$28&gt;=$C54+$B$13,F$28&lt;$C54+$B$13+$B$10),$E54,0)</f>
        <v>0</v>
      </c>
      <c r="G54" s="145" t="n">
        <f aca="false">IF(AND(G$28&gt;=$C54+$B$13,G$28&lt;$C54+$B$13+$B$10),$E54,0)</f>
        <v>0</v>
      </c>
      <c r="H54" s="145" t="n">
        <f aca="false">IF(AND(H$28&gt;=$C54+$B$13,H$28&lt;$C54+$B$13+$B$10),$E54,0)</f>
        <v>0</v>
      </c>
      <c r="I54" s="145" t="n">
        <f aca="false">IF(AND(I$28&gt;=$C54+$B$13,I$28&lt;$C54+$B$13+$B$10),$E54,0)</f>
        <v>5733.33333333333</v>
      </c>
      <c r="J54" s="145" t="n">
        <f aca="false">IF(AND(J$28&gt;=$C54+$B$13,J$28&lt;$C54+$B$13+$B$10),$E54,0)</f>
        <v>5733.33333333333</v>
      </c>
      <c r="K54" s="145" t="n">
        <f aca="false">IF(AND(K$28&gt;=$C54+$B$13,K$28&lt;$C54+$B$13+$B$10),$E54,0)</f>
        <v>5733.33333333333</v>
      </c>
      <c r="L54" s="145" t="n">
        <f aca="false">IF(AND(L$28&gt;=$C54+$B$13,L$28&lt;$C54+$B$13+$B$10),$E54,0)</f>
        <v>5733.33333333333</v>
      </c>
      <c r="M54" s="145" t="n">
        <f aca="false">IF(AND(M$28&gt;=$C54+$B$13,M$28&lt;$C54+$B$13+$B$10),$E54,0)</f>
        <v>5733.33333333333</v>
      </c>
      <c r="N54" s="145" t="n">
        <f aca="false">IF(AND(N$28&gt;=$C54+$B$13,N$28&lt;$C54+$B$13+$B$10),$E54,0)</f>
        <v>5733.33333333333</v>
      </c>
      <c r="O54" s="145" t="n">
        <f aca="false">IF(AND(O$28&gt;=$C54+$B$13,O$28&lt;$C54+$B$13+$B$10),$E54,0)</f>
        <v>5733.33333333333</v>
      </c>
      <c r="P54" s="145" t="n">
        <f aca="false">IF(AND(P$28&gt;=$C54+$B$13,P$28&lt;$C54+$B$13+$B$10),$E54,0)</f>
        <v>5733.33333333333</v>
      </c>
      <c r="Q54" s="145" t="n">
        <f aca="false">IF(AND(Q$28&gt;=$C54+$B$13,Q$28&lt;$C54+$B$13+$B$10),$E54,0)</f>
        <v>5733.33333333333</v>
      </c>
      <c r="R54" s="145" t="n">
        <f aca="false">SUM(F54:Q54)</f>
        <v>51600</v>
      </c>
    </row>
    <row r="55" customFormat="false" ht="15" hidden="false" customHeight="false" outlineLevel="0" collapsed="false">
      <c r="A55" s="3" t="s">
        <v>2445</v>
      </c>
      <c r="B55" s="146" t="n">
        <f aca="false">$B$15</f>
        <v>5012</v>
      </c>
      <c r="C55" s="3" t="n">
        <v>5</v>
      </c>
      <c r="D55" s="86" t="n">
        <f aca="false">J$30</f>
        <v>61</v>
      </c>
      <c r="E55" s="145" t="n">
        <f aca="false">D55*$B$8*(1-$B$12)/$B$10</f>
        <v>4066.66666666667</v>
      </c>
      <c r="F55" s="145" t="n">
        <f aca="false">IF(AND(F$28&gt;=$C55+$B$13,F$28&lt;$C55+$B$13+$B$10),$E55,0)</f>
        <v>0</v>
      </c>
      <c r="G55" s="145" t="n">
        <f aca="false">IF(AND(G$28&gt;=$C55+$B$13,G$28&lt;$C55+$B$13+$B$10),$E55,0)</f>
        <v>0</v>
      </c>
      <c r="H55" s="145" t="n">
        <f aca="false">IF(AND(H$28&gt;=$C55+$B$13,H$28&lt;$C55+$B$13+$B$10),$E55,0)</f>
        <v>0</v>
      </c>
      <c r="I55" s="145" t="n">
        <f aca="false">IF(AND(I$28&gt;=$C55+$B$13,I$28&lt;$C55+$B$13+$B$10),$E55,0)</f>
        <v>0</v>
      </c>
      <c r="J55" s="145" t="n">
        <f aca="false">IF(AND(J$28&gt;=$C55+$B$13,J$28&lt;$C55+$B$13+$B$10),$E55,0)</f>
        <v>4066.66666666667</v>
      </c>
      <c r="K55" s="145" t="n">
        <f aca="false">IF(AND(K$28&gt;=$C55+$B$13,K$28&lt;$C55+$B$13+$B$10),$E55,0)</f>
        <v>4066.66666666667</v>
      </c>
      <c r="L55" s="145" t="n">
        <f aca="false">IF(AND(L$28&gt;=$C55+$B$13,L$28&lt;$C55+$B$13+$B$10),$E55,0)</f>
        <v>4066.66666666667</v>
      </c>
      <c r="M55" s="145" t="n">
        <f aca="false">IF(AND(M$28&gt;=$C55+$B$13,M$28&lt;$C55+$B$13+$B$10),$E55,0)</f>
        <v>4066.66666666667</v>
      </c>
      <c r="N55" s="145" t="n">
        <f aca="false">IF(AND(N$28&gt;=$C55+$B$13,N$28&lt;$C55+$B$13+$B$10),$E55,0)</f>
        <v>4066.66666666667</v>
      </c>
      <c r="O55" s="145" t="n">
        <f aca="false">IF(AND(O$28&gt;=$C55+$B$13,O$28&lt;$C55+$B$13+$B$10),$E55,0)</f>
        <v>4066.66666666667</v>
      </c>
      <c r="P55" s="145" t="n">
        <f aca="false">IF(AND(P$28&gt;=$C55+$B$13,P$28&lt;$C55+$B$13+$B$10),$E55,0)</f>
        <v>4066.66666666667</v>
      </c>
      <c r="Q55" s="145" t="n">
        <f aca="false">IF(AND(Q$28&gt;=$C55+$B$13,Q$28&lt;$C55+$B$13+$B$10),$E55,0)</f>
        <v>4066.66666666667</v>
      </c>
      <c r="R55" s="145" t="n">
        <f aca="false">SUM(F55:Q55)</f>
        <v>32533.3333333333</v>
      </c>
    </row>
    <row r="56" customFormat="false" ht="15" hidden="false" customHeight="false" outlineLevel="0" collapsed="false">
      <c r="A56" s="3" t="s">
        <v>2446</v>
      </c>
      <c r="B56" s="146" t="n">
        <f aca="false">$B$15</f>
        <v>5012</v>
      </c>
      <c r="C56" s="3" t="n">
        <v>6</v>
      </c>
      <c r="D56" s="86" t="n">
        <f aca="false">K$30</f>
        <v>98</v>
      </c>
      <c r="E56" s="145" t="n">
        <f aca="false">D56*$B$8*(1-$B$12)/$B$10</f>
        <v>6533.33333333333</v>
      </c>
      <c r="F56" s="145" t="n">
        <f aca="false">IF(AND(F$28&gt;=$C56+$B$13,F$28&lt;$C56+$B$13+$B$10),$E56,0)</f>
        <v>0</v>
      </c>
      <c r="G56" s="145" t="n">
        <f aca="false">IF(AND(G$28&gt;=$C56+$B$13,G$28&lt;$C56+$B$13+$B$10),$E56,0)</f>
        <v>0</v>
      </c>
      <c r="H56" s="145" t="n">
        <f aca="false">IF(AND(H$28&gt;=$C56+$B$13,H$28&lt;$C56+$B$13+$B$10),$E56,0)</f>
        <v>0</v>
      </c>
      <c r="I56" s="145" t="n">
        <f aca="false">IF(AND(I$28&gt;=$C56+$B$13,I$28&lt;$C56+$B$13+$B$10),$E56,0)</f>
        <v>0</v>
      </c>
      <c r="J56" s="145" t="n">
        <f aca="false">IF(AND(J$28&gt;=$C56+$B$13,J$28&lt;$C56+$B$13+$B$10),$E56,0)</f>
        <v>0</v>
      </c>
      <c r="K56" s="145" t="n">
        <f aca="false">IF(AND(K$28&gt;=$C56+$B$13,K$28&lt;$C56+$B$13+$B$10),$E56,0)</f>
        <v>6533.33333333333</v>
      </c>
      <c r="L56" s="145" t="n">
        <f aca="false">IF(AND(L$28&gt;=$C56+$B$13,L$28&lt;$C56+$B$13+$B$10),$E56,0)</f>
        <v>6533.33333333333</v>
      </c>
      <c r="M56" s="145" t="n">
        <f aca="false">IF(AND(M$28&gt;=$C56+$B$13,M$28&lt;$C56+$B$13+$B$10),$E56,0)</f>
        <v>6533.33333333333</v>
      </c>
      <c r="N56" s="145" t="n">
        <f aca="false">IF(AND(N$28&gt;=$C56+$B$13,N$28&lt;$C56+$B$13+$B$10),$E56,0)</f>
        <v>6533.33333333333</v>
      </c>
      <c r="O56" s="145" t="n">
        <f aca="false">IF(AND(O$28&gt;=$C56+$B$13,O$28&lt;$C56+$B$13+$B$10),$E56,0)</f>
        <v>6533.33333333333</v>
      </c>
      <c r="P56" s="145" t="n">
        <f aca="false">IF(AND(P$28&gt;=$C56+$B$13,P$28&lt;$C56+$B$13+$B$10),$E56,0)</f>
        <v>6533.33333333333</v>
      </c>
      <c r="Q56" s="145" t="n">
        <f aca="false">IF(AND(Q$28&gt;=$C56+$B$13,Q$28&lt;$C56+$B$13+$B$10),$E56,0)</f>
        <v>6533.33333333333</v>
      </c>
      <c r="R56" s="145" t="n">
        <f aca="false">SUM(F56:Q56)</f>
        <v>45733.3333333333</v>
      </c>
    </row>
    <row r="57" customFormat="false" ht="15" hidden="false" customHeight="false" outlineLevel="0" collapsed="false">
      <c r="A57" s="3" t="s">
        <v>2447</v>
      </c>
      <c r="B57" s="146" t="n">
        <f aca="false">$B$15</f>
        <v>5012</v>
      </c>
      <c r="C57" s="3" t="n">
        <v>7</v>
      </c>
      <c r="D57" s="86" t="n">
        <f aca="false">L$30</f>
        <v>73</v>
      </c>
      <c r="E57" s="145" t="n">
        <f aca="false">D57*$B$8*(1-$B$12)/$B$10</f>
        <v>4866.66666666667</v>
      </c>
      <c r="F57" s="145" t="n">
        <f aca="false">IF(AND(F$28&gt;=$C57+$B$13,F$28&lt;$C57+$B$13+$B$10),$E57,0)</f>
        <v>0</v>
      </c>
      <c r="G57" s="145" t="n">
        <f aca="false">IF(AND(G$28&gt;=$C57+$B$13,G$28&lt;$C57+$B$13+$B$10),$E57,0)</f>
        <v>0</v>
      </c>
      <c r="H57" s="145" t="n">
        <f aca="false">IF(AND(H$28&gt;=$C57+$B$13,H$28&lt;$C57+$B$13+$B$10),$E57,0)</f>
        <v>0</v>
      </c>
      <c r="I57" s="145" t="n">
        <f aca="false">IF(AND(I$28&gt;=$C57+$B$13,I$28&lt;$C57+$B$13+$B$10),$E57,0)</f>
        <v>0</v>
      </c>
      <c r="J57" s="145" t="n">
        <f aca="false">IF(AND(J$28&gt;=$C57+$B$13,J$28&lt;$C57+$B$13+$B$10),$E57,0)</f>
        <v>0</v>
      </c>
      <c r="K57" s="145" t="n">
        <f aca="false">IF(AND(K$28&gt;=$C57+$B$13,K$28&lt;$C57+$B$13+$B$10),$E57,0)</f>
        <v>0</v>
      </c>
      <c r="L57" s="145" t="n">
        <f aca="false">IF(AND(L$28&gt;=$C57+$B$13,L$28&lt;$C57+$B$13+$B$10),$E57,0)</f>
        <v>4866.66666666667</v>
      </c>
      <c r="M57" s="145" t="n">
        <f aca="false">IF(AND(M$28&gt;=$C57+$B$13,M$28&lt;$C57+$B$13+$B$10),$E57,0)</f>
        <v>4866.66666666667</v>
      </c>
      <c r="N57" s="145" t="n">
        <f aca="false">IF(AND(N$28&gt;=$C57+$B$13,N$28&lt;$C57+$B$13+$B$10),$E57,0)</f>
        <v>4866.66666666667</v>
      </c>
      <c r="O57" s="145" t="n">
        <f aca="false">IF(AND(O$28&gt;=$C57+$B$13,O$28&lt;$C57+$B$13+$B$10),$E57,0)</f>
        <v>4866.66666666667</v>
      </c>
      <c r="P57" s="145" t="n">
        <f aca="false">IF(AND(P$28&gt;=$C57+$B$13,P$28&lt;$C57+$B$13+$B$10),$E57,0)</f>
        <v>4866.66666666667</v>
      </c>
      <c r="Q57" s="145" t="n">
        <f aca="false">IF(AND(Q$28&gt;=$C57+$B$13,Q$28&lt;$C57+$B$13+$B$10),$E57,0)</f>
        <v>4866.66666666667</v>
      </c>
      <c r="R57" s="145" t="n">
        <f aca="false">SUM(F57:Q57)</f>
        <v>29200</v>
      </c>
    </row>
    <row r="58" customFormat="false" ht="15" hidden="false" customHeight="false" outlineLevel="0" collapsed="false">
      <c r="A58" s="3" t="s">
        <v>2448</v>
      </c>
      <c r="B58" s="146" t="n">
        <f aca="false">$B$15</f>
        <v>5012</v>
      </c>
      <c r="C58" s="3" t="n">
        <v>8</v>
      </c>
      <c r="D58" s="86" t="n">
        <f aca="false">M$30</f>
        <v>85</v>
      </c>
      <c r="E58" s="145" t="n">
        <f aca="false">D58*$B$8*(1-$B$12)/$B$10</f>
        <v>5666.66666666667</v>
      </c>
      <c r="F58" s="145" t="n">
        <f aca="false">IF(AND(F$28&gt;=$C58+$B$13,F$28&lt;$C58+$B$13+$B$10),$E58,0)</f>
        <v>0</v>
      </c>
      <c r="G58" s="145" t="n">
        <f aca="false">IF(AND(G$28&gt;=$C58+$B$13,G$28&lt;$C58+$B$13+$B$10),$E58,0)</f>
        <v>0</v>
      </c>
      <c r="H58" s="145" t="n">
        <f aca="false">IF(AND(H$28&gt;=$C58+$B$13,H$28&lt;$C58+$B$13+$B$10),$E58,0)</f>
        <v>0</v>
      </c>
      <c r="I58" s="145" t="n">
        <f aca="false">IF(AND(I$28&gt;=$C58+$B$13,I$28&lt;$C58+$B$13+$B$10),$E58,0)</f>
        <v>0</v>
      </c>
      <c r="J58" s="145" t="n">
        <f aca="false">IF(AND(J$28&gt;=$C58+$B$13,J$28&lt;$C58+$B$13+$B$10),$E58,0)</f>
        <v>0</v>
      </c>
      <c r="K58" s="145" t="n">
        <f aca="false">IF(AND(K$28&gt;=$C58+$B$13,K$28&lt;$C58+$B$13+$B$10),$E58,0)</f>
        <v>0</v>
      </c>
      <c r="L58" s="145" t="n">
        <f aca="false">IF(AND(L$28&gt;=$C58+$B$13,L$28&lt;$C58+$B$13+$B$10),$E58,0)</f>
        <v>0</v>
      </c>
      <c r="M58" s="145" t="n">
        <f aca="false">IF(AND(M$28&gt;=$C58+$B$13,M$28&lt;$C58+$B$13+$B$10),$E58,0)</f>
        <v>5666.66666666667</v>
      </c>
      <c r="N58" s="145" t="n">
        <f aca="false">IF(AND(N$28&gt;=$C58+$B$13,N$28&lt;$C58+$B$13+$B$10),$E58,0)</f>
        <v>5666.66666666667</v>
      </c>
      <c r="O58" s="145" t="n">
        <f aca="false">IF(AND(O$28&gt;=$C58+$B$13,O$28&lt;$C58+$B$13+$B$10),$E58,0)</f>
        <v>5666.66666666667</v>
      </c>
      <c r="P58" s="145" t="n">
        <f aca="false">IF(AND(P$28&gt;=$C58+$B$13,P$28&lt;$C58+$B$13+$B$10),$E58,0)</f>
        <v>5666.66666666667</v>
      </c>
      <c r="Q58" s="145" t="n">
        <f aca="false">IF(AND(Q$28&gt;=$C58+$B$13,Q$28&lt;$C58+$B$13+$B$10),$E58,0)</f>
        <v>5666.66666666667</v>
      </c>
      <c r="R58" s="145" t="n">
        <f aca="false">SUM(F58:Q58)</f>
        <v>28333.3333333333</v>
      </c>
    </row>
    <row r="59" customFormat="false" ht="15" hidden="false" customHeight="false" outlineLevel="0" collapsed="false">
      <c r="A59" s="3" t="s">
        <v>2449</v>
      </c>
      <c r="B59" s="146" t="n">
        <f aca="false">$B$15</f>
        <v>5012</v>
      </c>
      <c r="C59" s="3" t="n">
        <v>9</v>
      </c>
      <c r="D59" s="86" t="n">
        <f aca="false">N$30</f>
        <v>122</v>
      </c>
      <c r="E59" s="145" t="n">
        <f aca="false">D59*$B$8*(1-$B$12)/$B$10</f>
        <v>8133.33333333333</v>
      </c>
      <c r="F59" s="145" t="n">
        <f aca="false">IF(AND(F$28&gt;=$C59+$B$13,F$28&lt;$C59+$B$13+$B$10),$E59,0)</f>
        <v>0</v>
      </c>
      <c r="G59" s="145" t="n">
        <f aca="false">IF(AND(G$28&gt;=$C59+$B$13,G$28&lt;$C59+$B$13+$B$10),$E59,0)</f>
        <v>0</v>
      </c>
      <c r="H59" s="145" t="n">
        <f aca="false">IF(AND(H$28&gt;=$C59+$B$13,H$28&lt;$C59+$B$13+$B$10),$E59,0)</f>
        <v>0</v>
      </c>
      <c r="I59" s="145" t="n">
        <f aca="false">IF(AND(I$28&gt;=$C59+$B$13,I$28&lt;$C59+$B$13+$B$10),$E59,0)</f>
        <v>0</v>
      </c>
      <c r="J59" s="145" t="n">
        <f aca="false">IF(AND(J$28&gt;=$C59+$B$13,J$28&lt;$C59+$B$13+$B$10),$E59,0)</f>
        <v>0</v>
      </c>
      <c r="K59" s="145" t="n">
        <f aca="false">IF(AND(K$28&gt;=$C59+$B$13,K$28&lt;$C59+$B$13+$B$10),$E59,0)</f>
        <v>0</v>
      </c>
      <c r="L59" s="145" t="n">
        <f aca="false">IF(AND(L$28&gt;=$C59+$B$13,L$28&lt;$C59+$B$13+$B$10),$E59,0)</f>
        <v>0</v>
      </c>
      <c r="M59" s="145" t="n">
        <f aca="false">IF(AND(M$28&gt;=$C59+$B$13,M$28&lt;$C59+$B$13+$B$10),$E59,0)</f>
        <v>0</v>
      </c>
      <c r="N59" s="145" t="n">
        <f aca="false">IF(AND(N$28&gt;=$C59+$B$13,N$28&lt;$C59+$B$13+$B$10),$E59,0)</f>
        <v>8133.33333333333</v>
      </c>
      <c r="O59" s="145" t="n">
        <f aca="false">IF(AND(O$28&gt;=$C59+$B$13,O$28&lt;$C59+$B$13+$B$10),$E59,0)</f>
        <v>8133.33333333333</v>
      </c>
      <c r="P59" s="145" t="n">
        <f aca="false">IF(AND(P$28&gt;=$C59+$B$13,P$28&lt;$C59+$B$13+$B$10),$E59,0)</f>
        <v>8133.33333333333</v>
      </c>
      <c r="Q59" s="145" t="n">
        <f aca="false">IF(AND(Q$28&gt;=$C59+$B$13,Q$28&lt;$C59+$B$13+$B$10),$E59,0)</f>
        <v>8133.33333333333</v>
      </c>
      <c r="R59" s="145" t="n">
        <f aca="false">SUM(F59:Q59)</f>
        <v>32533.3333333333</v>
      </c>
    </row>
    <row r="60" customFormat="false" ht="15" hidden="false" customHeight="false" outlineLevel="0" collapsed="false">
      <c r="A60" s="3" t="s">
        <v>2450</v>
      </c>
      <c r="B60" s="146" t="n">
        <f aca="false">$B$15</f>
        <v>5012</v>
      </c>
      <c r="C60" s="3" t="n">
        <v>10</v>
      </c>
      <c r="D60" s="86" t="n">
        <f aca="false">O$30</f>
        <v>122</v>
      </c>
      <c r="E60" s="145" t="n">
        <f aca="false">D60*$B$8*(1-$B$12)/$B$10</f>
        <v>8133.33333333333</v>
      </c>
      <c r="F60" s="145" t="n">
        <f aca="false">IF(AND(F$28&gt;=$C60+$B$13,F$28&lt;$C60+$B$13+$B$10),$E60,0)</f>
        <v>0</v>
      </c>
      <c r="G60" s="145" t="n">
        <f aca="false">IF(AND(G$28&gt;=$C60+$B$13,G$28&lt;$C60+$B$13+$B$10),$E60,0)</f>
        <v>0</v>
      </c>
      <c r="H60" s="145" t="n">
        <f aca="false">IF(AND(H$28&gt;=$C60+$B$13,H$28&lt;$C60+$B$13+$B$10),$E60,0)</f>
        <v>0</v>
      </c>
      <c r="I60" s="145" t="n">
        <f aca="false">IF(AND(I$28&gt;=$C60+$B$13,I$28&lt;$C60+$B$13+$B$10),$E60,0)</f>
        <v>0</v>
      </c>
      <c r="J60" s="145" t="n">
        <f aca="false">IF(AND(J$28&gt;=$C60+$B$13,J$28&lt;$C60+$B$13+$B$10),$E60,0)</f>
        <v>0</v>
      </c>
      <c r="K60" s="145" t="n">
        <f aca="false">IF(AND(K$28&gt;=$C60+$B$13,K$28&lt;$C60+$B$13+$B$10),$E60,0)</f>
        <v>0</v>
      </c>
      <c r="L60" s="145" t="n">
        <f aca="false">IF(AND(L$28&gt;=$C60+$B$13,L$28&lt;$C60+$B$13+$B$10),$E60,0)</f>
        <v>0</v>
      </c>
      <c r="M60" s="145" t="n">
        <f aca="false">IF(AND(M$28&gt;=$C60+$B$13,M$28&lt;$C60+$B$13+$B$10),$E60,0)</f>
        <v>0</v>
      </c>
      <c r="N60" s="145" t="n">
        <f aca="false">IF(AND(N$28&gt;=$C60+$B$13,N$28&lt;$C60+$B$13+$B$10),$E60,0)</f>
        <v>0</v>
      </c>
      <c r="O60" s="145" t="n">
        <f aca="false">IF(AND(O$28&gt;=$C60+$B$13,O$28&lt;$C60+$B$13+$B$10),$E60,0)</f>
        <v>8133.33333333333</v>
      </c>
      <c r="P60" s="145" t="n">
        <f aca="false">IF(AND(P$28&gt;=$C60+$B$13,P$28&lt;$C60+$B$13+$B$10),$E60,0)</f>
        <v>8133.33333333333</v>
      </c>
      <c r="Q60" s="145" t="n">
        <f aca="false">IF(AND(Q$28&gt;=$C60+$B$13,Q$28&lt;$C60+$B$13+$B$10),$E60,0)</f>
        <v>8133.33333333333</v>
      </c>
      <c r="R60" s="145" t="n">
        <f aca="false">SUM(F60:Q60)</f>
        <v>24400</v>
      </c>
    </row>
    <row r="61" customFormat="false" ht="15" hidden="false" customHeight="false" outlineLevel="0" collapsed="false">
      <c r="A61" s="3" t="s">
        <v>2451</v>
      </c>
      <c r="B61" s="146" t="n">
        <f aca="false">$B$15</f>
        <v>5012</v>
      </c>
      <c r="C61" s="3" t="n">
        <v>11</v>
      </c>
      <c r="D61" s="86" t="n">
        <f aca="false">P$30</f>
        <v>159</v>
      </c>
      <c r="E61" s="145" t="n">
        <f aca="false">D61*$B$8*(1-$B$12)/$B$10</f>
        <v>10600</v>
      </c>
      <c r="F61" s="145" t="n">
        <f aca="false">IF(AND(F$28&gt;=$C61+$B$13,F$28&lt;$C61+$B$13+$B$10),$E61,0)</f>
        <v>0</v>
      </c>
      <c r="G61" s="145" t="n">
        <f aca="false">IF(AND(G$28&gt;=$C61+$B$13,G$28&lt;$C61+$B$13+$B$10),$E61,0)</f>
        <v>0</v>
      </c>
      <c r="H61" s="145" t="n">
        <f aca="false">IF(AND(H$28&gt;=$C61+$B$13,H$28&lt;$C61+$B$13+$B$10),$E61,0)</f>
        <v>0</v>
      </c>
      <c r="I61" s="145" t="n">
        <f aca="false">IF(AND(I$28&gt;=$C61+$B$13,I$28&lt;$C61+$B$13+$B$10),$E61,0)</f>
        <v>0</v>
      </c>
      <c r="J61" s="145" t="n">
        <f aca="false">IF(AND(J$28&gt;=$C61+$B$13,J$28&lt;$C61+$B$13+$B$10),$E61,0)</f>
        <v>0</v>
      </c>
      <c r="K61" s="145" t="n">
        <f aca="false">IF(AND(K$28&gt;=$C61+$B$13,K$28&lt;$C61+$B$13+$B$10),$E61,0)</f>
        <v>0</v>
      </c>
      <c r="L61" s="145" t="n">
        <f aca="false">IF(AND(L$28&gt;=$C61+$B$13,L$28&lt;$C61+$B$13+$B$10),$E61,0)</f>
        <v>0</v>
      </c>
      <c r="M61" s="145" t="n">
        <f aca="false">IF(AND(M$28&gt;=$C61+$B$13,M$28&lt;$C61+$B$13+$B$10),$E61,0)</f>
        <v>0</v>
      </c>
      <c r="N61" s="145" t="n">
        <f aca="false">IF(AND(N$28&gt;=$C61+$B$13,N$28&lt;$C61+$B$13+$B$10),$E61,0)</f>
        <v>0</v>
      </c>
      <c r="O61" s="145" t="n">
        <f aca="false">IF(AND(O$28&gt;=$C61+$B$13,O$28&lt;$C61+$B$13+$B$10),$E61,0)</f>
        <v>0</v>
      </c>
      <c r="P61" s="145" t="n">
        <f aca="false">IF(AND(P$28&gt;=$C61+$B$13,P$28&lt;$C61+$B$13+$B$10),$E61,0)</f>
        <v>10600</v>
      </c>
      <c r="Q61" s="145" t="n">
        <f aca="false">IF(AND(Q$28&gt;=$C61+$B$13,Q$28&lt;$C61+$B$13+$B$10),$E61,0)</f>
        <v>10600</v>
      </c>
      <c r="R61" s="145" t="n">
        <f aca="false">SUM(F61:Q61)</f>
        <v>21200</v>
      </c>
    </row>
    <row r="62" customFormat="false" ht="15" hidden="false" customHeight="false" outlineLevel="0" collapsed="false">
      <c r="A62" s="3" t="s">
        <v>2452</v>
      </c>
      <c r="B62" s="146" t="n">
        <f aca="false">$B$15</f>
        <v>5012</v>
      </c>
      <c r="C62" s="3" t="n">
        <v>12</v>
      </c>
      <c r="D62" s="86" t="n">
        <f aca="false">Q$30</f>
        <v>146</v>
      </c>
      <c r="E62" s="145" t="n">
        <f aca="false">D62*$B$8*(1-$B$12)/$B$10</f>
        <v>9733.33333333333</v>
      </c>
      <c r="F62" s="145" t="n">
        <f aca="false">IF(AND(F$28&gt;=$C62+$B$13,F$28&lt;$C62+$B$13+$B$10),$E62,0)</f>
        <v>0</v>
      </c>
      <c r="G62" s="145" t="n">
        <f aca="false">IF(AND(G$28&gt;=$C62+$B$13,G$28&lt;$C62+$B$13+$B$10),$E62,0)</f>
        <v>0</v>
      </c>
      <c r="H62" s="145" t="n">
        <f aca="false">IF(AND(H$28&gt;=$C62+$B$13,H$28&lt;$C62+$B$13+$B$10),$E62,0)</f>
        <v>0</v>
      </c>
      <c r="I62" s="145" t="n">
        <f aca="false">IF(AND(I$28&gt;=$C62+$B$13,I$28&lt;$C62+$B$13+$B$10),$E62,0)</f>
        <v>0</v>
      </c>
      <c r="J62" s="145" t="n">
        <f aca="false">IF(AND(J$28&gt;=$C62+$B$13,J$28&lt;$C62+$B$13+$B$10),$E62,0)</f>
        <v>0</v>
      </c>
      <c r="K62" s="145" t="n">
        <f aca="false">IF(AND(K$28&gt;=$C62+$B$13,K$28&lt;$C62+$B$13+$B$10),$E62,0)</f>
        <v>0</v>
      </c>
      <c r="L62" s="145" t="n">
        <f aca="false">IF(AND(L$28&gt;=$C62+$B$13,L$28&lt;$C62+$B$13+$B$10),$E62,0)</f>
        <v>0</v>
      </c>
      <c r="M62" s="145" t="n">
        <f aca="false">IF(AND(M$28&gt;=$C62+$B$13,M$28&lt;$C62+$B$13+$B$10),$E62,0)</f>
        <v>0</v>
      </c>
      <c r="N62" s="145" t="n">
        <f aca="false">IF(AND(N$28&gt;=$C62+$B$13,N$28&lt;$C62+$B$13+$B$10),$E62,0)</f>
        <v>0</v>
      </c>
      <c r="O62" s="145" t="n">
        <f aca="false">IF(AND(O$28&gt;=$C62+$B$13,O$28&lt;$C62+$B$13+$B$10),$E62,0)</f>
        <v>0</v>
      </c>
      <c r="P62" s="145" t="n">
        <f aca="false">IF(AND(P$28&gt;=$C62+$B$13,P$28&lt;$C62+$B$13+$B$10),$E62,0)</f>
        <v>0</v>
      </c>
      <c r="Q62" s="145" t="n">
        <f aca="false">IF(AND(Q$28&gt;=$C62+$B$13,Q$28&lt;$C62+$B$13+$B$10),$E62,0)</f>
        <v>9733.33333333333</v>
      </c>
      <c r="R62" s="145" t="n">
        <f aca="false">SUM(F62:Q62)</f>
        <v>9733.33333333333</v>
      </c>
    </row>
    <row r="63" customFormat="false" ht="15" hidden="false" customHeight="false" outlineLevel="0" collapsed="false">
      <c r="A63" s="138" t="s">
        <v>2453</v>
      </c>
    </row>
    <row r="64" customFormat="false" ht="15" hidden="false" customHeight="false" outlineLevel="0" collapsed="false">
      <c r="A64" s="3" t="s">
        <v>2454</v>
      </c>
      <c r="B64" s="146" t="n">
        <f aca="false">$B$16</f>
        <v>5020</v>
      </c>
      <c r="C64" s="3" t="n">
        <v>1</v>
      </c>
      <c r="D64" s="86" t="n">
        <f aca="false">F$29</f>
        <v>20</v>
      </c>
      <c r="E64" s="145" t="n">
        <f aca="false">D64*$B$7*(1-$B$12)/$B$11</f>
        <v>985.119047619048</v>
      </c>
      <c r="F64" s="145" t="n">
        <f aca="false">IF(AND(F$28&gt;=$C64+$B$13,F$28&lt;$C64+$B$13+$B$11),$E64,0)</f>
        <v>985.119047619048</v>
      </c>
      <c r="G64" s="145" t="n">
        <f aca="false">IF(AND(G$28&gt;=$C64+$B$13,G$28&lt;$C64+$B$13+$B$11),$E64,0)</f>
        <v>985.119047619048</v>
      </c>
      <c r="H64" s="145" t="n">
        <f aca="false">IF(AND(H$28&gt;=$C64+$B$13,H$28&lt;$C64+$B$13+$B$11),$E64,0)</f>
        <v>985.119047619048</v>
      </c>
      <c r="I64" s="145" t="n">
        <f aca="false">IF(AND(I$28&gt;=$C64+$B$13,I$28&lt;$C64+$B$13+$B$11),$E64,0)</f>
        <v>985.119047619048</v>
      </c>
      <c r="J64" s="145" t="n">
        <f aca="false">IF(AND(J$28&gt;=$C64+$B$13,J$28&lt;$C64+$B$13+$B$11),$E64,0)</f>
        <v>985.119047619048</v>
      </c>
      <c r="K64" s="145" t="n">
        <f aca="false">IF(AND(K$28&gt;=$C64+$B$13,K$28&lt;$C64+$B$13+$B$11),$E64,0)</f>
        <v>985.119047619048</v>
      </c>
      <c r="L64" s="145" t="n">
        <f aca="false">IF(AND(L$28&gt;=$C64+$B$13,L$28&lt;$C64+$B$13+$B$11),$E64,0)</f>
        <v>985.119047619048</v>
      </c>
      <c r="M64" s="145" t="n">
        <f aca="false">IF(AND(M$28&gt;=$C64+$B$13,M$28&lt;$C64+$B$13+$B$11),$E64,0)</f>
        <v>985.119047619048</v>
      </c>
      <c r="N64" s="145" t="n">
        <f aca="false">IF(AND(N$28&gt;=$C64+$B$13,N$28&lt;$C64+$B$13+$B$11),$E64,0)</f>
        <v>985.119047619048</v>
      </c>
      <c r="O64" s="145" t="n">
        <f aca="false">IF(AND(O$28&gt;=$C64+$B$13,O$28&lt;$C64+$B$13+$B$11),$E64,0)</f>
        <v>985.119047619048</v>
      </c>
      <c r="P64" s="145" t="n">
        <f aca="false">IF(AND(P$28&gt;=$C64+$B$13,P$28&lt;$C64+$B$13+$B$11),$E64,0)</f>
        <v>985.119047619048</v>
      </c>
      <c r="Q64" s="145" t="n">
        <f aca="false">IF(AND(Q$28&gt;=$C64+$B$13,Q$28&lt;$C64+$B$13+$B$11),$E64,0)</f>
        <v>985.119047619048</v>
      </c>
      <c r="R64" s="145" t="n">
        <f aca="false">SUM(F64:Q64)</f>
        <v>11821.4285714286</v>
      </c>
      <c r="S64" s="3" t="s">
        <v>2428</v>
      </c>
    </row>
    <row r="65" customFormat="false" ht="15" hidden="false" customHeight="false" outlineLevel="0" collapsed="false">
      <c r="A65" s="3" t="s">
        <v>2455</v>
      </c>
      <c r="B65" s="146" t="n">
        <f aca="false">$B$16</f>
        <v>5020</v>
      </c>
      <c r="C65" s="3" t="n">
        <v>2</v>
      </c>
      <c r="D65" s="86" t="n">
        <f aca="false">G$29</f>
        <v>8</v>
      </c>
      <c r="E65" s="145" t="n">
        <f aca="false">D65*$B$7*(1-$B$12)/$B$11</f>
        <v>394.047619047619</v>
      </c>
      <c r="F65" s="145" t="n">
        <f aca="false">IF(AND(F$28&gt;=$C65+$B$13,F$28&lt;$C65+$B$13+$B$11),$E65,0)</f>
        <v>0</v>
      </c>
      <c r="G65" s="145" t="n">
        <f aca="false">IF(AND(G$28&gt;=$C65+$B$13,G$28&lt;$C65+$B$13+$B$11),$E65,0)</f>
        <v>394.047619047619</v>
      </c>
      <c r="H65" s="145" t="n">
        <f aca="false">IF(AND(H$28&gt;=$C65+$B$13,H$28&lt;$C65+$B$13+$B$11),$E65,0)</f>
        <v>394.047619047619</v>
      </c>
      <c r="I65" s="145" t="n">
        <f aca="false">IF(AND(I$28&gt;=$C65+$B$13,I$28&lt;$C65+$B$13+$B$11),$E65,0)</f>
        <v>394.047619047619</v>
      </c>
      <c r="J65" s="145" t="n">
        <f aca="false">IF(AND(J$28&gt;=$C65+$B$13,J$28&lt;$C65+$B$13+$B$11),$E65,0)</f>
        <v>394.047619047619</v>
      </c>
      <c r="K65" s="145" t="n">
        <f aca="false">IF(AND(K$28&gt;=$C65+$B$13,K$28&lt;$C65+$B$13+$B$11),$E65,0)</f>
        <v>394.047619047619</v>
      </c>
      <c r="L65" s="145" t="n">
        <f aca="false">IF(AND(L$28&gt;=$C65+$B$13,L$28&lt;$C65+$B$13+$B$11),$E65,0)</f>
        <v>394.047619047619</v>
      </c>
      <c r="M65" s="145" t="n">
        <f aca="false">IF(AND(M$28&gt;=$C65+$B$13,M$28&lt;$C65+$B$13+$B$11),$E65,0)</f>
        <v>394.047619047619</v>
      </c>
      <c r="N65" s="145" t="n">
        <f aca="false">IF(AND(N$28&gt;=$C65+$B$13,N$28&lt;$C65+$B$13+$B$11),$E65,0)</f>
        <v>394.047619047619</v>
      </c>
      <c r="O65" s="145" t="n">
        <f aca="false">IF(AND(O$28&gt;=$C65+$B$13,O$28&lt;$C65+$B$13+$B$11),$E65,0)</f>
        <v>394.047619047619</v>
      </c>
      <c r="P65" s="145" t="n">
        <f aca="false">IF(AND(P$28&gt;=$C65+$B$13,P$28&lt;$C65+$B$13+$B$11),$E65,0)</f>
        <v>394.047619047619</v>
      </c>
      <c r="Q65" s="145" t="n">
        <f aca="false">IF(AND(Q$28&gt;=$C65+$B$13,Q$28&lt;$C65+$B$13+$B$11),$E65,0)</f>
        <v>394.047619047619</v>
      </c>
      <c r="R65" s="145" t="n">
        <f aca="false">SUM(F65:Q65)</f>
        <v>4334.52380952381</v>
      </c>
    </row>
    <row r="66" customFormat="false" ht="15" hidden="false" customHeight="false" outlineLevel="0" collapsed="false">
      <c r="A66" s="3" t="s">
        <v>2456</v>
      </c>
      <c r="B66" s="146" t="n">
        <f aca="false">$B$16</f>
        <v>5020</v>
      </c>
      <c r="C66" s="3" t="n">
        <v>3</v>
      </c>
      <c r="D66" s="86" t="n">
        <f aca="false">H$29</f>
        <v>0</v>
      </c>
      <c r="E66" s="145" t="n">
        <f aca="false">D66*$B$7*(1-$B$12)/$B$11</f>
        <v>0</v>
      </c>
      <c r="F66" s="145" t="n">
        <f aca="false">IF(AND(F$28&gt;=$C66+$B$13,F$28&lt;$C66+$B$13+$B$11),$E66,0)</f>
        <v>0</v>
      </c>
      <c r="G66" s="145" t="n">
        <f aca="false">IF(AND(G$28&gt;=$C66+$B$13,G$28&lt;$C66+$B$13+$B$11),$E66,0)</f>
        <v>0</v>
      </c>
      <c r="H66" s="145" t="n">
        <f aca="false">IF(AND(H$28&gt;=$C66+$B$13,H$28&lt;$C66+$B$13+$B$11),$E66,0)</f>
        <v>0</v>
      </c>
      <c r="I66" s="145" t="n">
        <f aca="false">IF(AND(I$28&gt;=$C66+$B$13,I$28&lt;$C66+$B$13+$B$11),$E66,0)</f>
        <v>0</v>
      </c>
      <c r="J66" s="145" t="n">
        <f aca="false">IF(AND(J$28&gt;=$C66+$B$13,J$28&lt;$C66+$B$13+$B$11),$E66,0)</f>
        <v>0</v>
      </c>
      <c r="K66" s="145" t="n">
        <f aca="false">IF(AND(K$28&gt;=$C66+$B$13,K$28&lt;$C66+$B$13+$B$11),$E66,0)</f>
        <v>0</v>
      </c>
      <c r="L66" s="145" t="n">
        <f aca="false">IF(AND(L$28&gt;=$C66+$B$13,L$28&lt;$C66+$B$13+$B$11),$E66,0)</f>
        <v>0</v>
      </c>
      <c r="M66" s="145" t="n">
        <f aca="false">IF(AND(M$28&gt;=$C66+$B$13,M$28&lt;$C66+$B$13+$B$11),$E66,0)</f>
        <v>0</v>
      </c>
      <c r="N66" s="145" t="n">
        <f aca="false">IF(AND(N$28&gt;=$C66+$B$13,N$28&lt;$C66+$B$13+$B$11),$E66,0)</f>
        <v>0</v>
      </c>
      <c r="O66" s="145" t="n">
        <f aca="false">IF(AND(O$28&gt;=$C66+$B$13,O$28&lt;$C66+$B$13+$B$11),$E66,0)</f>
        <v>0</v>
      </c>
      <c r="P66" s="145" t="n">
        <f aca="false">IF(AND(P$28&gt;=$C66+$B$13,P$28&lt;$C66+$B$13+$B$11),$E66,0)</f>
        <v>0</v>
      </c>
      <c r="Q66" s="145" t="n">
        <f aca="false">IF(AND(Q$28&gt;=$C66+$B$13,Q$28&lt;$C66+$B$13+$B$11),$E66,0)</f>
        <v>0</v>
      </c>
      <c r="R66" s="145" t="n">
        <f aca="false">SUM(F66:Q66)</f>
        <v>0</v>
      </c>
    </row>
    <row r="67" customFormat="false" ht="15" hidden="false" customHeight="false" outlineLevel="0" collapsed="false">
      <c r="A67" s="3" t="s">
        <v>2457</v>
      </c>
      <c r="B67" s="146" t="n">
        <f aca="false">$B$16</f>
        <v>5020</v>
      </c>
      <c r="C67" s="3" t="n">
        <v>4</v>
      </c>
      <c r="D67" s="86" t="n">
        <f aca="false">I$29</f>
        <v>22</v>
      </c>
      <c r="E67" s="145" t="n">
        <f aca="false">D67*$B$7*(1-$B$12)/$B$11</f>
        <v>1083.63095238095</v>
      </c>
      <c r="F67" s="145" t="n">
        <f aca="false">IF(AND(F$28&gt;=$C67+$B$13,F$28&lt;$C67+$B$13+$B$11),$E67,0)</f>
        <v>0</v>
      </c>
      <c r="G67" s="145" t="n">
        <f aca="false">IF(AND(G$28&gt;=$C67+$B$13,G$28&lt;$C67+$B$13+$B$11),$E67,0)</f>
        <v>0</v>
      </c>
      <c r="H67" s="145" t="n">
        <f aca="false">IF(AND(H$28&gt;=$C67+$B$13,H$28&lt;$C67+$B$13+$B$11),$E67,0)</f>
        <v>0</v>
      </c>
      <c r="I67" s="145" t="n">
        <f aca="false">IF(AND(I$28&gt;=$C67+$B$13,I$28&lt;$C67+$B$13+$B$11),$E67,0)</f>
        <v>1083.63095238095</v>
      </c>
      <c r="J67" s="145" t="n">
        <f aca="false">IF(AND(J$28&gt;=$C67+$B$13,J$28&lt;$C67+$B$13+$B$11),$E67,0)</f>
        <v>1083.63095238095</v>
      </c>
      <c r="K67" s="145" t="n">
        <f aca="false">IF(AND(K$28&gt;=$C67+$B$13,K$28&lt;$C67+$B$13+$B$11),$E67,0)</f>
        <v>1083.63095238095</v>
      </c>
      <c r="L67" s="145" t="n">
        <f aca="false">IF(AND(L$28&gt;=$C67+$B$13,L$28&lt;$C67+$B$13+$B$11),$E67,0)</f>
        <v>1083.63095238095</v>
      </c>
      <c r="M67" s="145" t="n">
        <f aca="false">IF(AND(M$28&gt;=$C67+$B$13,M$28&lt;$C67+$B$13+$B$11),$E67,0)</f>
        <v>1083.63095238095</v>
      </c>
      <c r="N67" s="145" t="n">
        <f aca="false">IF(AND(N$28&gt;=$C67+$B$13,N$28&lt;$C67+$B$13+$B$11),$E67,0)</f>
        <v>1083.63095238095</v>
      </c>
      <c r="O67" s="145" t="n">
        <f aca="false">IF(AND(O$28&gt;=$C67+$B$13,O$28&lt;$C67+$B$13+$B$11),$E67,0)</f>
        <v>1083.63095238095</v>
      </c>
      <c r="P67" s="145" t="n">
        <f aca="false">IF(AND(P$28&gt;=$C67+$B$13,P$28&lt;$C67+$B$13+$B$11),$E67,0)</f>
        <v>1083.63095238095</v>
      </c>
      <c r="Q67" s="145" t="n">
        <f aca="false">IF(AND(Q$28&gt;=$C67+$B$13,Q$28&lt;$C67+$B$13+$B$11),$E67,0)</f>
        <v>1083.63095238095</v>
      </c>
      <c r="R67" s="145" t="n">
        <f aca="false">SUM(F67:Q67)</f>
        <v>9752.67857142857</v>
      </c>
    </row>
    <row r="68" customFormat="false" ht="15" hidden="false" customHeight="false" outlineLevel="0" collapsed="false">
      <c r="A68" s="3" t="s">
        <v>2458</v>
      </c>
      <c r="B68" s="146" t="n">
        <f aca="false">$B$16</f>
        <v>5020</v>
      </c>
      <c r="C68" s="3" t="n">
        <v>5</v>
      </c>
      <c r="D68" s="86" t="n">
        <f aca="false">J$29</f>
        <v>14</v>
      </c>
      <c r="E68" s="145" t="n">
        <f aca="false">D68*$B$7*(1-$B$12)/$B$11</f>
        <v>689.583333333333</v>
      </c>
      <c r="F68" s="145" t="n">
        <f aca="false">IF(AND(F$28&gt;=$C68+$B$13,F$28&lt;$C68+$B$13+$B$11),$E68,0)</f>
        <v>0</v>
      </c>
      <c r="G68" s="145" t="n">
        <f aca="false">IF(AND(G$28&gt;=$C68+$B$13,G$28&lt;$C68+$B$13+$B$11),$E68,0)</f>
        <v>0</v>
      </c>
      <c r="H68" s="145" t="n">
        <f aca="false">IF(AND(H$28&gt;=$C68+$B$13,H$28&lt;$C68+$B$13+$B$11),$E68,0)</f>
        <v>0</v>
      </c>
      <c r="I68" s="145" t="n">
        <f aca="false">IF(AND(I$28&gt;=$C68+$B$13,I$28&lt;$C68+$B$13+$B$11),$E68,0)</f>
        <v>0</v>
      </c>
      <c r="J68" s="145" t="n">
        <f aca="false">IF(AND(J$28&gt;=$C68+$B$13,J$28&lt;$C68+$B$13+$B$11),$E68,0)</f>
        <v>689.583333333333</v>
      </c>
      <c r="K68" s="145" t="n">
        <f aca="false">IF(AND(K$28&gt;=$C68+$B$13,K$28&lt;$C68+$B$13+$B$11),$E68,0)</f>
        <v>689.583333333333</v>
      </c>
      <c r="L68" s="145" t="n">
        <f aca="false">IF(AND(L$28&gt;=$C68+$B$13,L$28&lt;$C68+$B$13+$B$11),$E68,0)</f>
        <v>689.583333333333</v>
      </c>
      <c r="M68" s="145" t="n">
        <f aca="false">IF(AND(M$28&gt;=$C68+$B$13,M$28&lt;$C68+$B$13+$B$11),$E68,0)</f>
        <v>689.583333333333</v>
      </c>
      <c r="N68" s="145" t="n">
        <f aca="false">IF(AND(N$28&gt;=$C68+$B$13,N$28&lt;$C68+$B$13+$B$11),$E68,0)</f>
        <v>689.583333333333</v>
      </c>
      <c r="O68" s="145" t="n">
        <f aca="false">IF(AND(O$28&gt;=$C68+$B$13,O$28&lt;$C68+$B$13+$B$11),$E68,0)</f>
        <v>689.583333333333</v>
      </c>
      <c r="P68" s="145" t="n">
        <f aca="false">IF(AND(P$28&gt;=$C68+$B$13,P$28&lt;$C68+$B$13+$B$11),$E68,0)</f>
        <v>689.583333333333</v>
      </c>
      <c r="Q68" s="145" t="n">
        <f aca="false">IF(AND(Q$28&gt;=$C68+$B$13,Q$28&lt;$C68+$B$13+$B$11),$E68,0)</f>
        <v>689.583333333333</v>
      </c>
      <c r="R68" s="145" t="n">
        <f aca="false">SUM(F68:Q68)</f>
        <v>5516.66666666667</v>
      </c>
    </row>
    <row r="69" customFormat="false" ht="15" hidden="false" customHeight="false" outlineLevel="0" collapsed="false">
      <c r="A69" s="3" t="s">
        <v>2459</v>
      </c>
      <c r="B69" s="146" t="n">
        <f aca="false">$B$16</f>
        <v>5020</v>
      </c>
      <c r="C69" s="3" t="n">
        <v>6</v>
      </c>
      <c r="D69" s="86" t="n">
        <f aca="false">K$29</f>
        <v>20</v>
      </c>
      <c r="E69" s="145" t="n">
        <f aca="false">D69*$B$7*(1-$B$12)/$B$11</f>
        <v>985.119047619048</v>
      </c>
      <c r="F69" s="145" t="n">
        <f aca="false">IF(AND(F$28&gt;=$C69+$B$13,F$28&lt;$C69+$B$13+$B$11),$E69,0)</f>
        <v>0</v>
      </c>
      <c r="G69" s="145" t="n">
        <f aca="false">IF(AND(G$28&gt;=$C69+$B$13,G$28&lt;$C69+$B$13+$B$11),$E69,0)</f>
        <v>0</v>
      </c>
      <c r="H69" s="145" t="n">
        <f aca="false">IF(AND(H$28&gt;=$C69+$B$13,H$28&lt;$C69+$B$13+$B$11),$E69,0)</f>
        <v>0</v>
      </c>
      <c r="I69" s="145" t="n">
        <f aca="false">IF(AND(I$28&gt;=$C69+$B$13,I$28&lt;$C69+$B$13+$B$11),$E69,0)</f>
        <v>0</v>
      </c>
      <c r="J69" s="145" t="n">
        <f aca="false">IF(AND(J$28&gt;=$C69+$B$13,J$28&lt;$C69+$B$13+$B$11),$E69,0)</f>
        <v>0</v>
      </c>
      <c r="K69" s="145" t="n">
        <f aca="false">IF(AND(K$28&gt;=$C69+$B$13,K$28&lt;$C69+$B$13+$B$11),$E69,0)</f>
        <v>985.119047619048</v>
      </c>
      <c r="L69" s="145" t="n">
        <f aca="false">IF(AND(L$28&gt;=$C69+$B$13,L$28&lt;$C69+$B$13+$B$11),$E69,0)</f>
        <v>985.119047619048</v>
      </c>
      <c r="M69" s="145" t="n">
        <f aca="false">IF(AND(M$28&gt;=$C69+$B$13,M$28&lt;$C69+$B$13+$B$11),$E69,0)</f>
        <v>985.119047619048</v>
      </c>
      <c r="N69" s="145" t="n">
        <f aca="false">IF(AND(N$28&gt;=$C69+$B$13,N$28&lt;$C69+$B$13+$B$11),$E69,0)</f>
        <v>985.119047619048</v>
      </c>
      <c r="O69" s="145" t="n">
        <f aca="false">IF(AND(O$28&gt;=$C69+$B$13,O$28&lt;$C69+$B$13+$B$11),$E69,0)</f>
        <v>985.119047619048</v>
      </c>
      <c r="P69" s="145" t="n">
        <f aca="false">IF(AND(P$28&gt;=$C69+$B$13,P$28&lt;$C69+$B$13+$B$11),$E69,0)</f>
        <v>985.119047619048</v>
      </c>
      <c r="Q69" s="145" t="n">
        <f aca="false">IF(AND(Q$28&gt;=$C69+$B$13,Q$28&lt;$C69+$B$13+$B$11),$E69,0)</f>
        <v>985.119047619048</v>
      </c>
      <c r="R69" s="145" t="n">
        <f aca="false">SUM(F69:Q69)</f>
        <v>6895.83333333333</v>
      </c>
    </row>
    <row r="70" customFormat="false" ht="15" hidden="false" customHeight="false" outlineLevel="0" collapsed="false">
      <c r="A70" s="3" t="s">
        <v>2460</v>
      </c>
      <c r="B70" s="146" t="n">
        <f aca="false">$B$16</f>
        <v>5020</v>
      </c>
      <c r="C70" s="3" t="n">
        <v>7</v>
      </c>
      <c r="D70" s="86" t="n">
        <f aca="false">L$29</f>
        <v>18</v>
      </c>
      <c r="E70" s="145" t="n">
        <f aca="false">D70*$B$7*(1-$B$12)/$B$11</f>
        <v>886.607142857143</v>
      </c>
      <c r="F70" s="145" t="n">
        <f aca="false">IF(AND(F$28&gt;=$C70+$B$13,F$28&lt;$C70+$B$13+$B$11),$E70,0)</f>
        <v>0</v>
      </c>
      <c r="G70" s="145" t="n">
        <f aca="false">IF(AND(G$28&gt;=$C70+$B$13,G$28&lt;$C70+$B$13+$B$11),$E70,0)</f>
        <v>0</v>
      </c>
      <c r="H70" s="145" t="n">
        <f aca="false">IF(AND(H$28&gt;=$C70+$B$13,H$28&lt;$C70+$B$13+$B$11),$E70,0)</f>
        <v>0</v>
      </c>
      <c r="I70" s="145" t="n">
        <f aca="false">IF(AND(I$28&gt;=$C70+$B$13,I$28&lt;$C70+$B$13+$B$11),$E70,0)</f>
        <v>0</v>
      </c>
      <c r="J70" s="145" t="n">
        <f aca="false">IF(AND(J$28&gt;=$C70+$B$13,J$28&lt;$C70+$B$13+$B$11),$E70,0)</f>
        <v>0</v>
      </c>
      <c r="K70" s="145" t="n">
        <f aca="false">IF(AND(K$28&gt;=$C70+$B$13,K$28&lt;$C70+$B$13+$B$11),$E70,0)</f>
        <v>0</v>
      </c>
      <c r="L70" s="145" t="n">
        <f aca="false">IF(AND(L$28&gt;=$C70+$B$13,L$28&lt;$C70+$B$13+$B$11),$E70,0)</f>
        <v>886.607142857143</v>
      </c>
      <c r="M70" s="145" t="n">
        <f aca="false">IF(AND(M$28&gt;=$C70+$B$13,M$28&lt;$C70+$B$13+$B$11),$E70,0)</f>
        <v>886.607142857143</v>
      </c>
      <c r="N70" s="145" t="n">
        <f aca="false">IF(AND(N$28&gt;=$C70+$B$13,N$28&lt;$C70+$B$13+$B$11),$E70,0)</f>
        <v>886.607142857143</v>
      </c>
      <c r="O70" s="145" t="n">
        <f aca="false">IF(AND(O$28&gt;=$C70+$B$13,O$28&lt;$C70+$B$13+$B$11),$E70,0)</f>
        <v>886.607142857143</v>
      </c>
      <c r="P70" s="145" t="n">
        <f aca="false">IF(AND(P$28&gt;=$C70+$B$13,P$28&lt;$C70+$B$13+$B$11),$E70,0)</f>
        <v>886.607142857143</v>
      </c>
      <c r="Q70" s="145" t="n">
        <f aca="false">IF(AND(Q$28&gt;=$C70+$B$13,Q$28&lt;$C70+$B$13+$B$11),$E70,0)</f>
        <v>886.607142857143</v>
      </c>
      <c r="R70" s="145" t="n">
        <f aca="false">SUM(F70:Q70)</f>
        <v>5319.64285714286</v>
      </c>
    </row>
    <row r="71" customFormat="false" ht="15" hidden="false" customHeight="false" outlineLevel="0" collapsed="false">
      <c r="A71" s="3" t="s">
        <v>2461</v>
      </c>
      <c r="B71" s="146" t="n">
        <f aca="false">$B$16</f>
        <v>5020</v>
      </c>
      <c r="C71" s="3" t="n">
        <v>8</v>
      </c>
      <c r="D71" s="86" t="n">
        <f aca="false">M$29</f>
        <v>22</v>
      </c>
      <c r="E71" s="145" t="n">
        <f aca="false">D71*$B$7*(1-$B$12)/$B$11</f>
        <v>1083.63095238095</v>
      </c>
      <c r="F71" s="145" t="n">
        <f aca="false">IF(AND(F$28&gt;=$C71+$B$13,F$28&lt;$C71+$B$13+$B$11),$E71,0)</f>
        <v>0</v>
      </c>
      <c r="G71" s="145" t="n">
        <f aca="false">IF(AND(G$28&gt;=$C71+$B$13,G$28&lt;$C71+$B$13+$B$11),$E71,0)</f>
        <v>0</v>
      </c>
      <c r="H71" s="145" t="n">
        <f aca="false">IF(AND(H$28&gt;=$C71+$B$13,H$28&lt;$C71+$B$13+$B$11),$E71,0)</f>
        <v>0</v>
      </c>
      <c r="I71" s="145" t="n">
        <f aca="false">IF(AND(I$28&gt;=$C71+$B$13,I$28&lt;$C71+$B$13+$B$11),$E71,0)</f>
        <v>0</v>
      </c>
      <c r="J71" s="145" t="n">
        <f aca="false">IF(AND(J$28&gt;=$C71+$B$13,J$28&lt;$C71+$B$13+$B$11),$E71,0)</f>
        <v>0</v>
      </c>
      <c r="K71" s="145" t="n">
        <f aca="false">IF(AND(K$28&gt;=$C71+$B$13,K$28&lt;$C71+$B$13+$B$11),$E71,0)</f>
        <v>0</v>
      </c>
      <c r="L71" s="145" t="n">
        <f aca="false">IF(AND(L$28&gt;=$C71+$B$13,L$28&lt;$C71+$B$13+$B$11),$E71,0)</f>
        <v>0</v>
      </c>
      <c r="M71" s="145" t="n">
        <f aca="false">IF(AND(M$28&gt;=$C71+$B$13,M$28&lt;$C71+$B$13+$B$11),$E71,0)</f>
        <v>1083.63095238095</v>
      </c>
      <c r="N71" s="145" t="n">
        <f aca="false">IF(AND(N$28&gt;=$C71+$B$13,N$28&lt;$C71+$B$13+$B$11),$E71,0)</f>
        <v>1083.63095238095</v>
      </c>
      <c r="O71" s="145" t="n">
        <f aca="false">IF(AND(O$28&gt;=$C71+$B$13,O$28&lt;$C71+$B$13+$B$11),$E71,0)</f>
        <v>1083.63095238095</v>
      </c>
      <c r="P71" s="145" t="n">
        <f aca="false">IF(AND(P$28&gt;=$C71+$B$13,P$28&lt;$C71+$B$13+$B$11),$E71,0)</f>
        <v>1083.63095238095</v>
      </c>
      <c r="Q71" s="145" t="n">
        <f aca="false">IF(AND(Q$28&gt;=$C71+$B$13,Q$28&lt;$C71+$B$13+$B$11),$E71,0)</f>
        <v>1083.63095238095</v>
      </c>
      <c r="R71" s="145" t="n">
        <f aca="false">SUM(F71:Q71)</f>
        <v>5418.15476190476</v>
      </c>
    </row>
    <row r="72" customFormat="false" ht="15" hidden="false" customHeight="false" outlineLevel="0" collapsed="false">
      <c r="A72" s="3" t="s">
        <v>2462</v>
      </c>
      <c r="B72" s="146" t="n">
        <f aca="false">$B$16</f>
        <v>5020</v>
      </c>
      <c r="C72" s="3" t="n">
        <v>9</v>
      </c>
      <c r="D72" s="86" t="n">
        <f aca="false">N$29</f>
        <v>28</v>
      </c>
      <c r="E72" s="145" t="n">
        <f aca="false">D72*$B$7*(1-$B$12)/$B$11</f>
        <v>1379.16666666667</v>
      </c>
      <c r="F72" s="145" t="n">
        <f aca="false">IF(AND(F$28&gt;=$C72+$B$13,F$28&lt;$C72+$B$13+$B$11),$E72,0)</f>
        <v>0</v>
      </c>
      <c r="G72" s="145" t="n">
        <f aca="false">IF(AND(G$28&gt;=$C72+$B$13,G$28&lt;$C72+$B$13+$B$11),$E72,0)</f>
        <v>0</v>
      </c>
      <c r="H72" s="145" t="n">
        <f aca="false">IF(AND(H$28&gt;=$C72+$B$13,H$28&lt;$C72+$B$13+$B$11),$E72,0)</f>
        <v>0</v>
      </c>
      <c r="I72" s="145" t="n">
        <f aca="false">IF(AND(I$28&gt;=$C72+$B$13,I$28&lt;$C72+$B$13+$B$11),$E72,0)</f>
        <v>0</v>
      </c>
      <c r="J72" s="145" t="n">
        <f aca="false">IF(AND(J$28&gt;=$C72+$B$13,J$28&lt;$C72+$B$13+$B$11),$E72,0)</f>
        <v>0</v>
      </c>
      <c r="K72" s="145" t="n">
        <f aca="false">IF(AND(K$28&gt;=$C72+$B$13,K$28&lt;$C72+$B$13+$B$11),$E72,0)</f>
        <v>0</v>
      </c>
      <c r="L72" s="145" t="n">
        <f aca="false">IF(AND(L$28&gt;=$C72+$B$13,L$28&lt;$C72+$B$13+$B$11),$E72,0)</f>
        <v>0</v>
      </c>
      <c r="M72" s="145" t="n">
        <f aca="false">IF(AND(M$28&gt;=$C72+$B$13,M$28&lt;$C72+$B$13+$B$11),$E72,0)</f>
        <v>0</v>
      </c>
      <c r="N72" s="145" t="n">
        <f aca="false">IF(AND(N$28&gt;=$C72+$B$13,N$28&lt;$C72+$B$13+$B$11),$E72,0)</f>
        <v>1379.16666666667</v>
      </c>
      <c r="O72" s="145" t="n">
        <f aca="false">IF(AND(O$28&gt;=$C72+$B$13,O$28&lt;$C72+$B$13+$B$11),$E72,0)</f>
        <v>1379.16666666667</v>
      </c>
      <c r="P72" s="145" t="n">
        <f aca="false">IF(AND(P$28&gt;=$C72+$B$13,P$28&lt;$C72+$B$13+$B$11),$E72,0)</f>
        <v>1379.16666666667</v>
      </c>
      <c r="Q72" s="145" t="n">
        <f aca="false">IF(AND(Q$28&gt;=$C72+$B$13,Q$28&lt;$C72+$B$13+$B$11),$E72,0)</f>
        <v>1379.16666666667</v>
      </c>
      <c r="R72" s="145" t="n">
        <f aca="false">SUM(F72:Q72)</f>
        <v>5516.66666666667</v>
      </c>
    </row>
    <row r="73" customFormat="false" ht="15" hidden="false" customHeight="false" outlineLevel="0" collapsed="false">
      <c r="A73" s="3" t="s">
        <v>2463</v>
      </c>
      <c r="B73" s="146" t="n">
        <f aca="false">$B$16</f>
        <v>5020</v>
      </c>
      <c r="C73" s="3" t="n">
        <v>10</v>
      </c>
      <c r="D73" s="86" t="n">
        <f aca="false">O$29</f>
        <v>28</v>
      </c>
      <c r="E73" s="145" t="n">
        <f aca="false">D73*$B$7*(1-$B$12)/$B$11</f>
        <v>1379.16666666667</v>
      </c>
      <c r="F73" s="145" t="n">
        <f aca="false">IF(AND(F$28&gt;=$C73+$B$13,F$28&lt;$C73+$B$13+$B$11),$E73,0)</f>
        <v>0</v>
      </c>
      <c r="G73" s="145" t="n">
        <f aca="false">IF(AND(G$28&gt;=$C73+$B$13,G$28&lt;$C73+$B$13+$B$11),$E73,0)</f>
        <v>0</v>
      </c>
      <c r="H73" s="145" t="n">
        <f aca="false">IF(AND(H$28&gt;=$C73+$B$13,H$28&lt;$C73+$B$13+$B$11),$E73,0)</f>
        <v>0</v>
      </c>
      <c r="I73" s="145" t="n">
        <f aca="false">IF(AND(I$28&gt;=$C73+$B$13,I$28&lt;$C73+$B$13+$B$11),$E73,0)</f>
        <v>0</v>
      </c>
      <c r="J73" s="145" t="n">
        <f aca="false">IF(AND(J$28&gt;=$C73+$B$13,J$28&lt;$C73+$B$13+$B$11),$E73,0)</f>
        <v>0</v>
      </c>
      <c r="K73" s="145" t="n">
        <f aca="false">IF(AND(K$28&gt;=$C73+$B$13,K$28&lt;$C73+$B$13+$B$11),$E73,0)</f>
        <v>0</v>
      </c>
      <c r="L73" s="145" t="n">
        <f aca="false">IF(AND(L$28&gt;=$C73+$B$13,L$28&lt;$C73+$B$13+$B$11),$E73,0)</f>
        <v>0</v>
      </c>
      <c r="M73" s="145" t="n">
        <f aca="false">IF(AND(M$28&gt;=$C73+$B$13,M$28&lt;$C73+$B$13+$B$11),$E73,0)</f>
        <v>0</v>
      </c>
      <c r="N73" s="145" t="n">
        <f aca="false">IF(AND(N$28&gt;=$C73+$B$13,N$28&lt;$C73+$B$13+$B$11),$E73,0)</f>
        <v>0</v>
      </c>
      <c r="O73" s="145" t="n">
        <f aca="false">IF(AND(O$28&gt;=$C73+$B$13,O$28&lt;$C73+$B$13+$B$11),$E73,0)</f>
        <v>1379.16666666667</v>
      </c>
      <c r="P73" s="145" t="n">
        <f aca="false">IF(AND(P$28&gt;=$C73+$B$13,P$28&lt;$C73+$B$13+$B$11),$E73,0)</f>
        <v>1379.16666666667</v>
      </c>
      <c r="Q73" s="145" t="n">
        <f aca="false">IF(AND(Q$28&gt;=$C73+$B$13,Q$28&lt;$C73+$B$13+$B$11),$E73,0)</f>
        <v>1379.16666666667</v>
      </c>
      <c r="R73" s="145" t="n">
        <f aca="false">SUM(F73:Q73)</f>
        <v>4137.5</v>
      </c>
    </row>
    <row r="74" customFormat="false" ht="15" hidden="false" customHeight="false" outlineLevel="0" collapsed="false">
      <c r="A74" s="3" t="s">
        <v>2464</v>
      </c>
      <c r="B74" s="146" t="n">
        <f aca="false">$B$16</f>
        <v>5020</v>
      </c>
      <c r="C74" s="3" t="n">
        <v>11</v>
      </c>
      <c r="D74" s="86" t="n">
        <f aca="false">P$29</f>
        <v>34</v>
      </c>
      <c r="E74" s="145" t="n">
        <f aca="false">D74*$B$7*(1-$B$12)/$B$11</f>
        <v>1674.70238095238</v>
      </c>
      <c r="F74" s="145" t="n">
        <f aca="false">IF(AND(F$28&gt;=$C74+$B$13,F$28&lt;$C74+$B$13+$B$11),$E74,0)</f>
        <v>0</v>
      </c>
      <c r="G74" s="145" t="n">
        <f aca="false">IF(AND(G$28&gt;=$C74+$B$13,G$28&lt;$C74+$B$13+$B$11),$E74,0)</f>
        <v>0</v>
      </c>
      <c r="H74" s="145" t="n">
        <f aca="false">IF(AND(H$28&gt;=$C74+$B$13,H$28&lt;$C74+$B$13+$B$11),$E74,0)</f>
        <v>0</v>
      </c>
      <c r="I74" s="145" t="n">
        <f aca="false">IF(AND(I$28&gt;=$C74+$B$13,I$28&lt;$C74+$B$13+$B$11),$E74,0)</f>
        <v>0</v>
      </c>
      <c r="J74" s="145" t="n">
        <f aca="false">IF(AND(J$28&gt;=$C74+$B$13,J$28&lt;$C74+$B$13+$B$11),$E74,0)</f>
        <v>0</v>
      </c>
      <c r="K74" s="145" t="n">
        <f aca="false">IF(AND(K$28&gt;=$C74+$B$13,K$28&lt;$C74+$B$13+$B$11),$E74,0)</f>
        <v>0</v>
      </c>
      <c r="L74" s="145" t="n">
        <f aca="false">IF(AND(L$28&gt;=$C74+$B$13,L$28&lt;$C74+$B$13+$B$11),$E74,0)</f>
        <v>0</v>
      </c>
      <c r="M74" s="145" t="n">
        <f aca="false">IF(AND(M$28&gt;=$C74+$B$13,M$28&lt;$C74+$B$13+$B$11),$E74,0)</f>
        <v>0</v>
      </c>
      <c r="N74" s="145" t="n">
        <f aca="false">IF(AND(N$28&gt;=$C74+$B$13,N$28&lt;$C74+$B$13+$B$11),$E74,0)</f>
        <v>0</v>
      </c>
      <c r="O74" s="145" t="n">
        <f aca="false">IF(AND(O$28&gt;=$C74+$B$13,O$28&lt;$C74+$B$13+$B$11),$E74,0)</f>
        <v>0</v>
      </c>
      <c r="P74" s="145" t="n">
        <f aca="false">IF(AND(P$28&gt;=$C74+$B$13,P$28&lt;$C74+$B$13+$B$11),$E74,0)</f>
        <v>1674.70238095238</v>
      </c>
      <c r="Q74" s="145" t="n">
        <f aca="false">IF(AND(Q$28&gt;=$C74+$B$13,Q$28&lt;$C74+$B$13+$B$11),$E74,0)</f>
        <v>1674.70238095238</v>
      </c>
      <c r="R74" s="145" t="n">
        <f aca="false">SUM(F74:Q74)</f>
        <v>3349.40476190476</v>
      </c>
    </row>
    <row r="75" customFormat="false" ht="15" hidden="false" customHeight="false" outlineLevel="0" collapsed="false">
      <c r="A75" s="3" t="s">
        <v>2465</v>
      </c>
      <c r="B75" s="146" t="n">
        <f aca="false">$B$16</f>
        <v>5020</v>
      </c>
      <c r="C75" s="3" t="n">
        <v>12</v>
      </c>
      <c r="D75" s="86" t="n">
        <f aca="false">Q$29</f>
        <v>36</v>
      </c>
      <c r="E75" s="145" t="n">
        <f aca="false">D75*$B$7*(1-$B$12)/$B$11</f>
        <v>1773.21428571429</v>
      </c>
      <c r="F75" s="145" t="n">
        <f aca="false">IF(AND(F$28&gt;=$C75+$B$13,F$28&lt;$C75+$B$13+$B$11),$E75,0)</f>
        <v>0</v>
      </c>
      <c r="G75" s="145" t="n">
        <f aca="false">IF(AND(G$28&gt;=$C75+$B$13,G$28&lt;$C75+$B$13+$B$11),$E75,0)</f>
        <v>0</v>
      </c>
      <c r="H75" s="145" t="n">
        <f aca="false">IF(AND(H$28&gt;=$C75+$B$13,H$28&lt;$C75+$B$13+$B$11),$E75,0)</f>
        <v>0</v>
      </c>
      <c r="I75" s="145" t="n">
        <f aca="false">IF(AND(I$28&gt;=$C75+$B$13,I$28&lt;$C75+$B$13+$B$11),$E75,0)</f>
        <v>0</v>
      </c>
      <c r="J75" s="145" t="n">
        <f aca="false">IF(AND(J$28&gt;=$C75+$B$13,J$28&lt;$C75+$B$13+$B$11),$E75,0)</f>
        <v>0</v>
      </c>
      <c r="K75" s="145" t="n">
        <f aca="false">IF(AND(K$28&gt;=$C75+$B$13,K$28&lt;$C75+$B$13+$B$11),$E75,0)</f>
        <v>0</v>
      </c>
      <c r="L75" s="145" t="n">
        <f aca="false">IF(AND(L$28&gt;=$C75+$B$13,L$28&lt;$C75+$B$13+$B$11),$E75,0)</f>
        <v>0</v>
      </c>
      <c r="M75" s="145" t="n">
        <f aca="false">IF(AND(M$28&gt;=$C75+$B$13,M$28&lt;$C75+$B$13+$B$11),$E75,0)</f>
        <v>0</v>
      </c>
      <c r="N75" s="145" t="n">
        <f aca="false">IF(AND(N$28&gt;=$C75+$B$13,N$28&lt;$C75+$B$13+$B$11),$E75,0)</f>
        <v>0</v>
      </c>
      <c r="O75" s="145" t="n">
        <f aca="false">IF(AND(O$28&gt;=$C75+$B$13,O$28&lt;$C75+$B$13+$B$11),$E75,0)</f>
        <v>0</v>
      </c>
      <c r="P75" s="145" t="n">
        <f aca="false">IF(AND(P$28&gt;=$C75+$B$13,P$28&lt;$C75+$B$13+$B$11),$E75,0)</f>
        <v>0</v>
      </c>
      <c r="Q75" s="145" t="n">
        <f aca="false">IF(AND(Q$28&gt;=$C75+$B$13,Q$28&lt;$C75+$B$13+$B$11),$E75,0)</f>
        <v>1773.21428571429</v>
      </c>
      <c r="R75" s="145" t="n">
        <f aca="false">SUM(F75:Q75)</f>
        <v>1773.21428571429</v>
      </c>
    </row>
    <row r="77" customFormat="false" ht="15" hidden="false" customHeight="false" outlineLevel="0" collapsed="false">
      <c r="A77" s="5" t="s">
        <v>2466</v>
      </c>
    </row>
    <row r="78" customFormat="false" ht="15" hidden="false" customHeight="false" outlineLevel="0" collapsed="false">
      <c r="A78" s="2" t="s">
        <v>2467</v>
      </c>
      <c r="B78" s="2" t="s">
        <v>704</v>
      </c>
      <c r="C78" s="2" t="s">
        <v>2468</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2" t="s">
        <v>2325</v>
      </c>
    </row>
    <row r="79" customFormat="false" ht="15" hidden="false" customHeight="false" outlineLevel="0" collapsed="false">
      <c r="A79" s="3" t="s">
        <v>2174</v>
      </c>
      <c r="B79" s="3" t="n">
        <v>5010</v>
      </c>
      <c r="C79" s="3" t="n">
        <v>19</v>
      </c>
      <c r="F79" s="145" t="n">
        <f aca="false">SUMIF($B$32:$B$75,$B79,F$32:F$75)</f>
        <v>112797.85</v>
      </c>
      <c r="G79" s="145" t="n">
        <f aca="false">SUMIF($B$32:$B$75,$B79,G$32:G$75)</f>
        <v>112797.85</v>
      </c>
      <c r="H79" s="145" t="n">
        <f aca="false">SUMIF($B$32:$B$75,$B79,H$32:H$75)</f>
        <v>112797.85</v>
      </c>
      <c r="I79" s="145" t="n">
        <f aca="false">SUMIF($B$32:$B$75,$B79,I$32:I$75)</f>
        <v>112797.85</v>
      </c>
      <c r="J79" s="145" t="n">
        <f aca="false">SUMIF($B$32:$B$75,$B79,J$32:J$75)</f>
        <v>112797.85</v>
      </c>
      <c r="K79" s="145" t="n">
        <f aca="false">SUMIF($B$32:$B$75,$B79,K$32:K$75)</f>
        <v>112797.85</v>
      </c>
      <c r="L79" s="145" t="n">
        <f aca="false">SUMIF($B$32:$B$75,$B79,L$32:L$75)</f>
        <v>112797.85</v>
      </c>
      <c r="M79" s="145" t="n">
        <f aca="false">SUMIF($B$32:$B$75,$B79,M$32:M$75)</f>
        <v>112797.85</v>
      </c>
      <c r="N79" s="145" t="n">
        <f aca="false">SUMIF($B$32:$B$75,$B79,N$32:N$75)</f>
        <v>112797.85</v>
      </c>
      <c r="O79" s="145" t="n">
        <f aca="false">SUMIF($B$32:$B$75,$B79,O$32:O$75)</f>
        <v>112797.85</v>
      </c>
      <c r="P79" s="145" t="n">
        <f aca="false">SUMIF($B$32:$B$75,$B79,P$32:P$75)</f>
        <v>112797.85</v>
      </c>
      <c r="Q79" s="145" t="n">
        <f aca="false">SUMIF($B$32:$B$75,$B79,Q$32:Q$75)</f>
        <v>112797.85</v>
      </c>
      <c r="R79" s="145" t="n">
        <f aca="false">SUM(F79:Q79)</f>
        <v>1353574.2</v>
      </c>
      <c r="S79" s="3" t="s">
        <v>2469</v>
      </c>
    </row>
    <row r="80" customFormat="false" ht="15" hidden="false" customHeight="false" outlineLevel="0" collapsed="false">
      <c r="A80" s="3" t="s">
        <v>2175</v>
      </c>
      <c r="B80" s="3" t="n">
        <v>5011</v>
      </c>
      <c r="C80" s="3" t="n">
        <v>20</v>
      </c>
      <c r="F80" s="145" t="n">
        <f aca="false">SUMIF($B$32:$B$75,$B80,F$32:F$75)</f>
        <v>35921.0904761905</v>
      </c>
      <c r="G80" s="145" t="n">
        <f aca="false">SUMIF($B$32:$B$75,$B80,G$32:G$75)</f>
        <v>42111.5666666667</v>
      </c>
      <c r="H80" s="145" t="n">
        <f aca="false">SUMIF($B$32:$B$75,$B80,H$32:H$75)</f>
        <v>42111.5666666667</v>
      </c>
      <c r="I80" s="145" t="n">
        <f aca="false">SUMIF($B$32:$B$75,$B80,I$32:I$75)</f>
        <v>59135.3761904762</v>
      </c>
      <c r="J80" s="145" t="n">
        <f aca="false">SUMIF($B$32:$B$75,$B80,J$32:J$75)</f>
        <v>69968.7095238095</v>
      </c>
      <c r="K80" s="145" t="n">
        <f aca="false">SUMIF($B$32:$B$75,$B80,K$32:K$75)</f>
        <v>85444.9</v>
      </c>
      <c r="L80" s="145" t="n">
        <f aca="false">SUMIF($B$32:$B$75,$B80,L$32:L$75)</f>
        <v>99373.4714285714</v>
      </c>
      <c r="M80" s="145" t="n">
        <f aca="false">SUMIF($B$32:$B$75,$B80,M$32:M$75)</f>
        <v>116397.280952381</v>
      </c>
      <c r="N80" s="145" t="n">
        <f aca="false">SUMIF($B$32:$B$75,$B80,N$32:N$75)</f>
        <v>138063.947619048</v>
      </c>
      <c r="O80" s="145" t="n">
        <f aca="false">SUMIF($B$32:$B$75,$B80,O$32:O$75)</f>
        <v>159730.614285714</v>
      </c>
      <c r="P80" s="145" t="n">
        <f aca="false">SUMIF($B$32:$B$75,$B80,P$32:P$75)</f>
        <v>186040.138095238</v>
      </c>
      <c r="Q80" s="145" t="n">
        <f aca="false">SUMIF($B$32:$B$75,$B80,Q$32:Q$75)</f>
        <v>213897.280952381</v>
      </c>
      <c r="R80" s="145" t="n">
        <f aca="false">SUM(F80:Q80)</f>
        <v>1248195.94285714</v>
      </c>
      <c r="S80" s="3" t="s">
        <v>2470</v>
      </c>
    </row>
    <row r="81" customFormat="false" ht="15" hidden="false" customHeight="false" outlineLevel="0" collapsed="false">
      <c r="A81" s="3" t="s">
        <v>2176</v>
      </c>
      <c r="B81" s="3" t="n">
        <v>5012</v>
      </c>
      <c r="C81" s="3" t="n">
        <v>21</v>
      </c>
      <c r="F81" s="145" t="n">
        <f aca="false">SUMIF($B$32:$B$75,$B81,F$32:F$75)</f>
        <v>10502.64</v>
      </c>
      <c r="G81" s="145" t="n">
        <f aca="false">SUMIF($B$32:$B$75,$B81,G$32:G$75)</f>
        <v>12102.64</v>
      </c>
      <c r="H81" s="145" t="n">
        <f aca="false">SUMIF($B$32:$B$75,$B81,H$32:H$75)</f>
        <v>12102.64</v>
      </c>
      <c r="I81" s="145" t="n">
        <f aca="false">SUMIF($B$32:$B$75,$B81,I$32:I$75)</f>
        <v>17835.9733333333</v>
      </c>
      <c r="J81" s="145" t="n">
        <f aca="false">SUMIF($B$32:$B$75,$B81,J$32:J$75)</f>
        <v>21902.64</v>
      </c>
      <c r="K81" s="145" t="n">
        <f aca="false">SUMIF($B$32:$B$75,$B81,K$32:K$75)</f>
        <v>28435.9733333333</v>
      </c>
      <c r="L81" s="145" t="n">
        <f aca="false">SUMIF($B$32:$B$75,$B81,L$32:L$75)</f>
        <v>33302.64</v>
      </c>
      <c r="M81" s="145" t="n">
        <f aca="false">SUMIF($B$32:$B$75,$B81,M$32:M$75)</f>
        <v>38969.3066666667</v>
      </c>
      <c r="N81" s="145" t="n">
        <f aca="false">SUMIF($B$32:$B$75,$B81,N$32:N$75)</f>
        <v>47102.64</v>
      </c>
      <c r="O81" s="145" t="n">
        <f aca="false">SUMIF($B$32:$B$75,$B81,O$32:O$75)</f>
        <v>55235.9733333333</v>
      </c>
      <c r="P81" s="145" t="n">
        <f aca="false">SUMIF($B$32:$B$75,$B81,P$32:P$75)</f>
        <v>65835.9733333333</v>
      </c>
      <c r="Q81" s="145" t="n">
        <f aca="false">SUMIF($B$32:$B$75,$B81,Q$32:Q$75)</f>
        <v>75569.3066666667</v>
      </c>
      <c r="R81" s="145" t="n">
        <f aca="false">SUM(F81:Q81)</f>
        <v>418898.346666667</v>
      </c>
      <c r="S81" s="3" t="s">
        <v>2471</v>
      </c>
    </row>
    <row r="82" customFormat="false" ht="15" hidden="false" customHeight="false" outlineLevel="0" collapsed="false">
      <c r="A82" s="3" t="s">
        <v>2177</v>
      </c>
      <c r="B82" s="3" t="n">
        <v>5020</v>
      </c>
      <c r="C82" s="3" t="n">
        <v>22</v>
      </c>
      <c r="F82" s="145" t="n">
        <f aca="false">SUMIF($B$32:$B$75,$B82,F$32:F$75)</f>
        <v>20510.449047619</v>
      </c>
      <c r="G82" s="145" t="n">
        <f aca="false">SUMIF($B$32:$B$75,$B82,G$32:G$75)</f>
        <v>20904.4966666667</v>
      </c>
      <c r="H82" s="145" t="n">
        <f aca="false">SUMIF($B$32:$B$75,$B82,H$32:H$75)</f>
        <v>20904.4966666667</v>
      </c>
      <c r="I82" s="145" t="n">
        <f aca="false">SUMIF($B$32:$B$75,$B82,I$32:I$75)</f>
        <v>21988.1276190476</v>
      </c>
      <c r="J82" s="145" t="n">
        <f aca="false">SUMIF($B$32:$B$75,$B82,J$32:J$75)</f>
        <v>22677.710952381</v>
      </c>
      <c r="K82" s="145" t="n">
        <f aca="false">SUMIF($B$32:$B$75,$B82,K$32:K$75)</f>
        <v>23662.83</v>
      </c>
      <c r="L82" s="145" t="n">
        <f aca="false">SUMIF($B$32:$B$75,$B82,L$32:L$75)</f>
        <v>24549.4371428571</v>
      </c>
      <c r="M82" s="145" t="n">
        <f aca="false">SUMIF($B$32:$B$75,$B82,M$32:M$75)</f>
        <v>25633.0680952381</v>
      </c>
      <c r="N82" s="145" t="n">
        <f aca="false">SUMIF($B$32:$B$75,$B82,N$32:N$75)</f>
        <v>27012.2347619048</v>
      </c>
      <c r="O82" s="145" t="n">
        <f aca="false">SUMIF($B$32:$B$75,$B82,O$32:O$75)</f>
        <v>28391.4014285714</v>
      </c>
      <c r="P82" s="145" t="n">
        <f aca="false">SUMIF($B$32:$B$75,$B82,P$32:P$75)</f>
        <v>30066.1038095238</v>
      </c>
      <c r="Q82" s="145" t="n">
        <f aca="false">SUMIF($B$32:$B$75,$B82,Q$32:Q$75)</f>
        <v>31839.3180952381</v>
      </c>
      <c r="R82" s="145" t="n">
        <f aca="false">SUM(F82:Q82)</f>
        <v>298139.674285714</v>
      </c>
      <c r="S82" s="3" t="s">
        <v>2472</v>
      </c>
    </row>
    <row r="83" customFormat="false" ht="15" hidden="false" customHeight="false" outlineLevel="0" collapsed="false">
      <c r="A83" s="138" t="s">
        <v>2473</v>
      </c>
      <c r="F83" s="145" t="n">
        <f aca="false">SUM(F79:F82)</f>
        <v>179732.02952381</v>
      </c>
      <c r="G83" s="145" t="n">
        <f aca="false">SUM(G79:G82)</f>
        <v>187916.553333333</v>
      </c>
      <c r="H83" s="145" t="n">
        <f aca="false">SUM(H79:H82)</f>
        <v>187916.553333333</v>
      </c>
      <c r="I83" s="145" t="n">
        <f aca="false">SUM(I79:I82)</f>
        <v>211757.327142857</v>
      </c>
      <c r="J83" s="145" t="n">
        <f aca="false">SUM(J79:J82)</f>
        <v>227346.910476191</v>
      </c>
      <c r="K83" s="145" t="n">
        <f aca="false">SUM(K79:K82)</f>
        <v>250341.553333333</v>
      </c>
      <c r="L83" s="145" t="n">
        <f aca="false">SUM(L79:L82)</f>
        <v>270023.398571429</v>
      </c>
      <c r="M83" s="145" t="n">
        <f aca="false">SUM(M79:M82)</f>
        <v>293797.505714286</v>
      </c>
      <c r="N83" s="145" t="n">
        <f aca="false">SUM(N79:N82)</f>
        <v>324976.672380952</v>
      </c>
      <c r="O83" s="145" t="n">
        <f aca="false">SUM(O79:O82)</f>
        <v>356155.839047619</v>
      </c>
      <c r="P83" s="145" t="n">
        <f aca="false">SUM(P79:P82)</f>
        <v>394740.065238095</v>
      </c>
      <c r="Q83" s="145" t="n">
        <f aca="false">SUM(Q79:Q82)</f>
        <v>434103.755714286</v>
      </c>
      <c r="R83" s="145" t="n">
        <f aca="false">SUM(R79:R82)</f>
        <v>3318808.16380952</v>
      </c>
    </row>
    <row r="84" customFormat="false" ht="15" hidden="false" customHeight="false" outlineLevel="0" collapsed="false">
      <c r="A84" s="3" t="s">
        <v>2474</v>
      </c>
      <c r="F84" s="145" t="n">
        <f aca="false">SUM(F33:F36)</f>
        <v>159270.72</v>
      </c>
      <c r="G84" s="145" t="n">
        <f aca="false">SUM(G33:G36)</f>
        <v>159270.72</v>
      </c>
      <c r="H84" s="145" t="n">
        <f aca="false">SUM(H33:H36)</f>
        <v>159270.72</v>
      </c>
      <c r="I84" s="145" t="n">
        <f aca="false">SUM(I33:I36)</f>
        <v>159270.72</v>
      </c>
      <c r="J84" s="145" t="n">
        <f aca="false">SUM(J33:J36)</f>
        <v>159270.72</v>
      </c>
      <c r="K84" s="145" t="n">
        <f aca="false">SUM(K33:K36)</f>
        <v>159270.72</v>
      </c>
      <c r="L84" s="145" t="n">
        <f aca="false">SUM(L33:L36)</f>
        <v>159270.72</v>
      </c>
      <c r="M84" s="145" t="n">
        <f aca="false">SUM(M33:M36)</f>
        <v>159270.72</v>
      </c>
      <c r="N84" s="145" t="n">
        <f aca="false">SUM(N33:N36)</f>
        <v>159270.72</v>
      </c>
      <c r="O84" s="145" t="n">
        <f aca="false">SUM(O33:O36)</f>
        <v>159270.72</v>
      </c>
      <c r="P84" s="145" t="n">
        <f aca="false">SUM(P33:P36)</f>
        <v>159270.72</v>
      </c>
      <c r="Q84" s="145" t="n">
        <f aca="false">SUM(Q33:Q36)</f>
        <v>159270.72</v>
      </c>
      <c r="R84" s="145" t="n">
        <f aca="false">SUM(R33:R36)</f>
        <v>1911248.64</v>
      </c>
    </row>
    <row r="85" customFormat="false" ht="15" hidden="false" customHeight="false" outlineLevel="0" collapsed="false">
      <c r="A85" s="3" t="s">
        <v>2475</v>
      </c>
      <c r="F85" s="145" t="n">
        <f aca="false">SUM(F38:F75)</f>
        <v>20461.3095238095</v>
      </c>
      <c r="G85" s="145" t="n">
        <f aca="false">SUM(G38:G75)</f>
        <v>28645.8333333333</v>
      </c>
      <c r="H85" s="145" t="n">
        <f aca="false">SUM(H38:H75)</f>
        <v>28645.8333333333</v>
      </c>
      <c r="I85" s="145" t="n">
        <f aca="false">SUM(I38:I75)</f>
        <v>52486.6071428571</v>
      </c>
      <c r="J85" s="145" t="n">
        <f aca="false">SUM(J38:J75)</f>
        <v>68076.1904761905</v>
      </c>
      <c r="K85" s="145" t="n">
        <f aca="false">SUM(K38:K75)</f>
        <v>91070.8333333333</v>
      </c>
      <c r="L85" s="145" t="n">
        <f aca="false">SUM(L38:L75)</f>
        <v>110752.678571429</v>
      </c>
      <c r="M85" s="145" t="n">
        <f aca="false">SUM(M38:M75)</f>
        <v>134526.785714286</v>
      </c>
      <c r="N85" s="145" t="n">
        <f aca="false">SUM(N38:N75)</f>
        <v>165705.952380952</v>
      </c>
      <c r="O85" s="145" t="n">
        <f aca="false">SUM(O38:O75)</f>
        <v>196885.119047619</v>
      </c>
      <c r="P85" s="145" t="n">
        <f aca="false">SUM(P38:P75)</f>
        <v>235469.345238095</v>
      </c>
      <c r="Q85" s="145" t="n">
        <f aca="false">SUM(Q38:Q75)</f>
        <v>274833.035714286</v>
      </c>
      <c r="R85" s="145" t="n">
        <f aca="false">SUM(R38:R75)</f>
        <v>1407559.52380952</v>
      </c>
    </row>
    <row r="86" customFormat="false" ht="15" hidden="false" customHeight="false" outlineLevel="0" collapsed="false">
      <c r="A86" s="3" t="s">
        <v>2476</v>
      </c>
      <c r="F86" s="145" t="n">
        <f aca="false">F83-SUM(F32:F75)</f>
        <v>0</v>
      </c>
      <c r="G86" s="145" t="n">
        <f aca="false">G83-SUM(G32:G75)</f>
        <v>0</v>
      </c>
      <c r="H86" s="145" t="n">
        <f aca="false">H83-SUM(H32:H75)</f>
        <v>0</v>
      </c>
      <c r="I86" s="145" t="n">
        <f aca="false">I83-SUM(I32:I75)</f>
        <v>0</v>
      </c>
      <c r="J86" s="145" t="n">
        <f aca="false">J83-SUM(J32:J75)</f>
        <v>0</v>
      </c>
      <c r="K86" s="145" t="n">
        <f aca="false">K83-SUM(K32:K75)</f>
        <v>0</v>
      </c>
      <c r="L86" s="145" t="n">
        <f aca="false">L83-SUM(L32:L75)</f>
        <v>0</v>
      </c>
      <c r="M86" s="145" t="n">
        <f aca="false">M83-SUM(M32:M75)</f>
        <v>0</v>
      </c>
      <c r="N86" s="145" t="n">
        <f aca="false">N83-SUM(N32:N75)</f>
        <v>0</v>
      </c>
      <c r="O86" s="145" t="n">
        <f aca="false">O83-SUM(O32:O75)</f>
        <v>0</v>
      </c>
      <c r="P86" s="145" t="n">
        <f aca="false">P83-SUM(P32:P75)</f>
        <v>0</v>
      </c>
      <c r="Q86" s="145" t="n">
        <f aca="false">Q83-SUM(Q32:Q75)</f>
        <v>0</v>
      </c>
      <c r="R86" s="145" t="n">
        <f aca="false">R83-SUM(R32:R75)</f>
        <v>0</v>
      </c>
    </row>
    <row r="88" customFormat="false" ht="15" hidden="false" customHeight="false" outlineLevel="0" collapsed="false">
      <c r="A88" s="5" t="s">
        <v>2477</v>
      </c>
    </row>
    <row r="89" customFormat="false" ht="15" hidden="false" customHeight="false" outlineLevel="0" collapsed="false">
      <c r="A89" s="2" t="s">
        <v>98</v>
      </c>
      <c r="B89" s="2" t="s">
        <v>2478</v>
      </c>
      <c r="C89" s="2" t="s">
        <v>2479</v>
      </c>
      <c r="D89" s="2" t="s">
        <v>2480</v>
      </c>
    </row>
    <row r="90" customFormat="false" ht="15" hidden="false" customHeight="false" outlineLevel="0" collapsed="false">
      <c r="A90" s="3" t="s">
        <v>2481</v>
      </c>
      <c r="B90" s="145" t="n">
        <f aca="false">PO!M20-PO!J20</f>
        <v>11607.1428571429</v>
      </c>
      <c r="C90" s="145" t="n">
        <f aca="false">PO!M21-PO!J21</f>
        <v>3533.33333333333</v>
      </c>
      <c r="D90" s="145" t="n">
        <f aca="false">PO!M22-PO!J22</f>
        <v>4658.3333333333</v>
      </c>
    </row>
    <row r="91" customFormat="false" ht="15" hidden="false" customHeight="false" outlineLevel="0" collapsed="false">
      <c r="A91" s="3" t="s">
        <v>2482</v>
      </c>
      <c r="B91" s="145" t="n">
        <f aca="false">$B$6/$B$9</f>
        <v>773.809523809524</v>
      </c>
      <c r="C91" s="145" t="n">
        <f aca="false">$B$8/$B$10</f>
        <v>66.6666666666667</v>
      </c>
      <c r="D91" s="145" t="n">
        <f aca="false">$B$7/$B$11</f>
        <v>49.2559523809524</v>
      </c>
    </row>
    <row r="92" customFormat="false" ht="15" hidden="false" customHeight="false" outlineLevel="0" collapsed="false">
      <c r="A92" s="3" t="s">
        <v>2483</v>
      </c>
      <c r="B92" s="147" t="n">
        <f aca="false">B90/B91</f>
        <v>15</v>
      </c>
      <c r="C92" s="147" t="n">
        <f aca="false">C90/C91</f>
        <v>53</v>
      </c>
      <c r="D92" s="147" t="n">
        <f aca="false">D90/D91</f>
        <v>94.5740181268876</v>
      </c>
    </row>
    <row r="93" customFormat="false" ht="15" hidden="false" customHeight="false" outlineLevel="0" collapsed="false">
      <c r="A93" s="3" t="s">
        <v>2484</v>
      </c>
      <c r="B93" s="86" t="n">
        <f aca="false">SUM(DeploySum!C19:E19)</f>
        <v>18</v>
      </c>
      <c r="C93" s="86" t="n">
        <f aca="false">SUM(DeploySum!C20:E20)</f>
        <v>67</v>
      </c>
      <c r="D93" s="86" t="n">
        <f aca="false">SUM(DeploySum!C19:E19)</f>
        <v>18</v>
      </c>
    </row>
    <row r="94" customFormat="false" ht="15" hidden="false" customHeight="false" outlineLevel="0" collapsed="false">
      <c r="A94" s="3" t="s">
        <v>2485</v>
      </c>
      <c r="B94" s="147" t="n">
        <f aca="false">B93-B92</f>
        <v>2.99999999999999</v>
      </c>
      <c r="C94" s="147" t="n">
        <f aca="false">C93-C92</f>
        <v>14.0000000000001</v>
      </c>
      <c r="D94" s="147" t="s">
        <v>2486</v>
      </c>
    </row>
    <row r="95" customFormat="false" ht="15" hidden="false" customHeight="false" outlineLevel="0" collapsed="false">
      <c r="A95" s="3" t="s">
        <v>2487</v>
      </c>
      <c r="B95" s="145" t="n">
        <f aca="false">B94*B91</f>
        <v>2321.42857142857</v>
      </c>
      <c r="C95" s="145" t="n">
        <f aca="false">C94*C91</f>
        <v>933.333333333337</v>
      </c>
      <c r="D95" s="145" t="s">
        <v>2488</v>
      </c>
    </row>
    <row r="96" customFormat="false" ht="15" hidden="false" customHeight="false" outlineLevel="0" collapsed="false">
      <c r="A96" s="3" t="s">
        <v>2489</v>
      </c>
      <c r="B96" s="145" t="n">
        <f aca="false">B95*12</f>
        <v>27857.1428571428</v>
      </c>
      <c r="C96" s="145" t="n">
        <f aca="false">C95*12</f>
        <v>11200</v>
      </c>
      <c r="D96" s="145" t="s">
        <v>2490</v>
      </c>
    </row>
    <row r="97" customFormat="false" ht="15" hidden="false" customHeight="false" outlineLevel="0" collapsed="false">
      <c r="A97" s="3" t="s">
        <v>2491</v>
      </c>
    </row>
    <row r="99" customFormat="false" ht="15" hidden="false" customHeight="false" outlineLevel="0" collapsed="false">
      <c r="A99" s="5" t="s">
        <v>2492</v>
      </c>
    </row>
    <row r="100" customFormat="false" ht="41.75" hidden="false" customHeight="false" outlineLevel="0" collapsed="false">
      <c r="A100" s="148" t="s">
        <v>2493</v>
      </c>
      <c r="B100" s="148" t="s">
        <v>2339</v>
      </c>
      <c r="C100" s="148" t="s">
        <v>2340</v>
      </c>
      <c r="D100" s="148" t="s">
        <v>2494</v>
      </c>
      <c r="E100" s="148" t="s">
        <v>2495</v>
      </c>
      <c r="F100" s="148" t="s">
        <v>2496</v>
      </c>
      <c r="G100" s="148" t="s">
        <v>2497</v>
      </c>
      <c r="H100" s="148" t="s">
        <v>2498</v>
      </c>
      <c r="I100" s="148" t="s">
        <v>2499</v>
      </c>
    </row>
    <row r="101" customFormat="false" ht="15" hidden="false" customHeight="false" outlineLevel="0" collapsed="false">
      <c r="A101" s="149" t="n">
        <f aca="false">DeploySum!B4</f>
        <v>46295</v>
      </c>
      <c r="B101" s="86" t="n">
        <f aca="false">DeploySum!B24</f>
        <v>9</v>
      </c>
      <c r="C101" s="86" t="n">
        <f aca="false">DeploySum!B25</f>
        <v>32</v>
      </c>
      <c r="D101" s="145" t="n">
        <f aca="false">DeploySum!B29</f>
        <v>878237.5</v>
      </c>
      <c r="E101" s="145" t="n">
        <f aca="false">IF(B101+C101=0,"",D101/(B101+C101))</f>
        <v>21420.4268292683</v>
      </c>
      <c r="F101" s="145" t="n">
        <f aca="false">B101*($B$6+$B$7)+C101*$B$8</f>
        <v>878237.5</v>
      </c>
      <c r="G101" s="145" t="n">
        <f aca="false">D101-F101</f>
        <v>0</v>
      </c>
      <c r="H101" s="145" t="n">
        <f aca="false">B101*($B$6+ROUND($B$7,0))+C101*$B$8</f>
        <v>878242</v>
      </c>
      <c r="I101" s="145" t="n">
        <f aca="false">D101-H101</f>
        <v>-4.5</v>
      </c>
    </row>
    <row r="102" customFormat="false" ht="15" hidden="false" customHeight="false" outlineLevel="0" collapsed="false">
      <c r="A102" s="149" t="n">
        <f aca="false">DeploySum!C4</f>
        <v>46326</v>
      </c>
      <c r="B102" s="86" t="n">
        <f aca="false">DeploySum!C24</f>
        <v>0</v>
      </c>
      <c r="C102" s="86" t="n">
        <f aca="false">DeploySum!C25</f>
        <v>0</v>
      </c>
      <c r="D102" s="145" t="n">
        <f aca="false">DeploySum!C29</f>
        <v>0</v>
      </c>
      <c r="E102" s="145" t="str">
        <f aca="false">IF(B102+C102=0,"",D102/(B102+C102))</f>
        <v/>
      </c>
      <c r="F102" s="145" t="n">
        <f aca="false">B102*($B$6+$B$7)+C102*$B$8</f>
        <v>0</v>
      </c>
      <c r="G102" s="145" t="n">
        <f aca="false">D102-F102</f>
        <v>0</v>
      </c>
      <c r="H102" s="145" t="n">
        <f aca="false">B102*($B$6+ROUND($B$7,0))+C102*$B$8</f>
        <v>0</v>
      </c>
      <c r="I102" s="145" t="n">
        <f aca="false">D102-H102</f>
        <v>0</v>
      </c>
    </row>
    <row r="103" customFormat="false" ht="15" hidden="false" customHeight="false" outlineLevel="0" collapsed="false">
      <c r="A103" s="149" t="n">
        <f aca="false">DeploySum!D4</f>
        <v>46356</v>
      </c>
      <c r="B103" s="86" t="n">
        <f aca="false">DeploySum!D24</f>
        <v>20</v>
      </c>
      <c r="C103" s="86" t="n">
        <f aca="false">DeploySum!D25</f>
        <v>60</v>
      </c>
      <c r="D103" s="145" t="n">
        <f aca="false">DeploySum!D29</f>
        <v>1862750</v>
      </c>
      <c r="E103" s="145" t="n">
        <f aca="false">IF(B103+C103=0,"",D103/(B103+C103))</f>
        <v>23284.375</v>
      </c>
      <c r="F103" s="145" t="n">
        <f aca="false">B103*($B$6+$B$7)+C103*$B$8</f>
        <v>1862750</v>
      </c>
      <c r="G103" s="145" t="n">
        <f aca="false">D103-F103</f>
        <v>0</v>
      </c>
      <c r="H103" s="145" t="n">
        <f aca="false">B103*($B$6+ROUND($B$7,0))+C103*$B$8</f>
        <v>1862760</v>
      </c>
      <c r="I103" s="145" t="n">
        <f aca="false">D103-H103</f>
        <v>-10</v>
      </c>
    </row>
    <row r="104" customFormat="false" ht="15" hidden="false" customHeight="false" outlineLevel="0" collapsed="false">
      <c r="A104" s="149" t="n">
        <f aca="false">DeploySum!E4</f>
        <v>46387</v>
      </c>
      <c r="B104" s="86" t="n">
        <f aca="false">DeploySum!E24</f>
        <v>8</v>
      </c>
      <c r="C104" s="86" t="n">
        <f aca="false">DeploySum!E25</f>
        <v>24</v>
      </c>
      <c r="D104" s="145" t="n">
        <f aca="false">DeploySum!E29</f>
        <v>745100</v>
      </c>
      <c r="E104" s="145" t="n">
        <f aca="false">IF(B104+C104=0,"",D104/(B104+C104))</f>
        <v>23284.375</v>
      </c>
      <c r="F104" s="145" t="n">
        <f aca="false">B104*($B$6+$B$7)+C104*$B$8</f>
        <v>745100</v>
      </c>
      <c r="G104" s="145" t="n">
        <f aca="false">D104-F104</f>
        <v>0</v>
      </c>
      <c r="H104" s="145" t="n">
        <f aca="false">B104*($B$6+ROUND($B$7,0))+C104*$B$8</f>
        <v>745104</v>
      </c>
      <c r="I104" s="145" t="n">
        <f aca="false">D104-H104</f>
        <v>-4</v>
      </c>
    </row>
    <row r="105" customFormat="false" ht="15" hidden="false" customHeight="false" outlineLevel="0" collapsed="false">
      <c r="A105" s="149" t="n">
        <f aca="false">DeploySum!F4</f>
        <v>46418</v>
      </c>
      <c r="B105" s="86" t="n">
        <f aca="false">DeploySum!F24</f>
        <v>0</v>
      </c>
      <c r="C105" s="86" t="n">
        <f aca="false">DeploySum!F25</f>
        <v>0</v>
      </c>
      <c r="D105" s="145" t="n">
        <f aca="false">DeploySum!F29</f>
        <v>0</v>
      </c>
      <c r="E105" s="145" t="str">
        <f aca="false">IF(B105+C105=0,"",D105/(B105+C105))</f>
        <v/>
      </c>
      <c r="F105" s="145" t="n">
        <f aca="false">B105*($B$6+$B$7)+C105*$B$8</f>
        <v>0</v>
      </c>
      <c r="G105" s="145" t="n">
        <f aca="false">D105-F105</f>
        <v>0</v>
      </c>
      <c r="H105" s="145" t="n">
        <f aca="false">B105*($B$6+ROUND($B$7,0))+C105*$B$8</f>
        <v>0</v>
      </c>
      <c r="I105" s="145" t="n">
        <f aca="false">D105-H105</f>
        <v>0</v>
      </c>
    </row>
    <row r="106" customFormat="false" ht="15" hidden="false" customHeight="false" outlineLevel="0" collapsed="false">
      <c r="A106" s="149" t="n">
        <f aca="false">DeploySum!G4</f>
        <v>46446</v>
      </c>
      <c r="B106" s="86" t="n">
        <f aca="false">DeploySum!G24</f>
        <v>22</v>
      </c>
      <c r="C106" s="86" t="n">
        <f aca="false">DeploySum!G25</f>
        <v>86</v>
      </c>
      <c r="D106" s="145" t="n">
        <f aca="false">DeploySum!G29</f>
        <v>2209025</v>
      </c>
      <c r="E106" s="145" t="n">
        <f aca="false">IF(B106+C106=0,"",D106/(B106+C106))</f>
        <v>20453.9351851852</v>
      </c>
      <c r="F106" s="145" t="n">
        <f aca="false">B106*($B$6+$B$7)+C106*$B$8</f>
        <v>2209025</v>
      </c>
      <c r="G106" s="145" t="n">
        <f aca="false">D106-F106</f>
        <v>0</v>
      </c>
      <c r="H106" s="145" t="n">
        <f aca="false">B106*($B$6+ROUND($B$7,0))+C106*$B$8</f>
        <v>2209036</v>
      </c>
      <c r="I106" s="145" t="n">
        <f aca="false">D106-H106</f>
        <v>-11</v>
      </c>
    </row>
    <row r="107" customFormat="false" ht="15" hidden="false" customHeight="false" outlineLevel="0" collapsed="false">
      <c r="A107" s="149" t="n">
        <f aca="false">DeploySum!H4</f>
        <v>46477</v>
      </c>
      <c r="B107" s="86" t="n">
        <f aca="false">DeploySum!H24</f>
        <v>14</v>
      </c>
      <c r="C107" s="86" t="n">
        <f aca="false">DeploySum!H25</f>
        <v>61</v>
      </c>
      <c r="D107" s="145" t="n">
        <f aca="false">DeploySum!H29</f>
        <v>1455925</v>
      </c>
      <c r="E107" s="145" t="n">
        <f aca="false">IF(B107+C107=0,"",D107/(B107+C107))</f>
        <v>19412.3333333333</v>
      </c>
      <c r="F107" s="145" t="n">
        <f aca="false">B107*($B$6+$B$7)+C107*$B$8</f>
        <v>1455925</v>
      </c>
      <c r="G107" s="145" t="n">
        <f aca="false">D107-F107</f>
        <v>0</v>
      </c>
      <c r="H107" s="145" t="n">
        <f aca="false">B107*($B$6+ROUND($B$7,0))+C107*$B$8</f>
        <v>1455932</v>
      </c>
      <c r="I107" s="145" t="n">
        <f aca="false">D107-H107</f>
        <v>-7</v>
      </c>
    </row>
    <row r="108" customFormat="false" ht="15" hidden="false" customHeight="false" outlineLevel="0" collapsed="false">
      <c r="A108" s="149" t="n">
        <f aca="false">DeploySum!I4</f>
        <v>46507</v>
      </c>
      <c r="B108" s="86" t="n">
        <f aca="false">DeploySum!I24</f>
        <v>20</v>
      </c>
      <c r="C108" s="86" t="n">
        <f aca="false">DeploySum!I25</f>
        <v>98</v>
      </c>
      <c r="D108" s="145" t="n">
        <f aca="false">DeploySum!I29</f>
        <v>2166750</v>
      </c>
      <c r="E108" s="145" t="n">
        <f aca="false">IF(B108+C108=0,"",D108/(B108+C108))</f>
        <v>18362.2881355932</v>
      </c>
      <c r="F108" s="145" t="n">
        <f aca="false">B108*($B$6+$B$7)+C108*$B$8</f>
        <v>2166750</v>
      </c>
      <c r="G108" s="145" t="n">
        <f aca="false">D108-F108</f>
        <v>0</v>
      </c>
      <c r="H108" s="145" t="n">
        <f aca="false">B108*($B$6+ROUND($B$7,0))+C108*$B$8</f>
        <v>2166760</v>
      </c>
      <c r="I108" s="145" t="n">
        <f aca="false">D108-H108</f>
        <v>-10</v>
      </c>
    </row>
    <row r="109" customFormat="false" ht="15" hidden="false" customHeight="false" outlineLevel="0" collapsed="false">
      <c r="A109" s="149" t="n">
        <f aca="false">DeploySum!J4</f>
        <v>46538</v>
      </c>
      <c r="B109" s="86" t="n">
        <f aca="false">DeploySum!J24</f>
        <v>18</v>
      </c>
      <c r="C109" s="86" t="n">
        <f aca="false">DeploySum!J25</f>
        <v>73</v>
      </c>
      <c r="D109" s="145" t="n">
        <f aca="false">DeploySum!J29</f>
        <v>1828475</v>
      </c>
      <c r="E109" s="145" t="n">
        <f aca="false">IF(B109+C109=0,"",D109/(B109+C109))</f>
        <v>20093.1318681319</v>
      </c>
      <c r="F109" s="145" t="n">
        <f aca="false">B109*($B$6+$B$7)+C109*$B$8</f>
        <v>1828475</v>
      </c>
      <c r="G109" s="145" t="n">
        <f aca="false">D109-F109</f>
        <v>0</v>
      </c>
      <c r="H109" s="145" t="n">
        <f aca="false">B109*($B$6+ROUND($B$7,0))+C109*$B$8</f>
        <v>1828484</v>
      </c>
      <c r="I109" s="145" t="n">
        <f aca="false">D109-H109</f>
        <v>-9</v>
      </c>
    </row>
    <row r="110" customFormat="false" ht="15" hidden="false" customHeight="false" outlineLevel="0" collapsed="false">
      <c r="A110" s="149" t="n">
        <f aca="false">DeploySum!K4</f>
        <v>46568</v>
      </c>
      <c r="B110" s="86" t="n">
        <f aca="false">DeploySum!K24</f>
        <v>22</v>
      </c>
      <c r="C110" s="86" t="n">
        <f aca="false">DeploySum!K25</f>
        <v>85</v>
      </c>
      <c r="D110" s="145" t="n">
        <f aca="false">DeploySum!K29</f>
        <v>2201025</v>
      </c>
      <c r="E110" s="145" t="n">
        <f aca="false">IF(B110+C110=0,"",D110/(B110+C110))</f>
        <v>20570.3271028037</v>
      </c>
      <c r="F110" s="145" t="n">
        <f aca="false">B110*($B$6+$B$7)+C110*$B$8</f>
        <v>2201025</v>
      </c>
      <c r="G110" s="145" t="n">
        <f aca="false">D110-F110</f>
        <v>0</v>
      </c>
      <c r="H110" s="145" t="n">
        <f aca="false">B110*($B$6+ROUND($B$7,0))+C110*$B$8</f>
        <v>2201036</v>
      </c>
      <c r="I110" s="145" t="n">
        <f aca="false">D110-H110</f>
        <v>-11</v>
      </c>
    </row>
    <row r="111" customFormat="false" ht="15" hidden="false" customHeight="false" outlineLevel="0" collapsed="false">
      <c r="A111" s="149" t="n">
        <f aca="false">DeploySum!L4</f>
        <v>46599</v>
      </c>
      <c r="B111" s="86" t="n">
        <f aca="false">DeploySum!L24</f>
        <v>28</v>
      </c>
      <c r="C111" s="86" t="n">
        <f aca="false">DeploySum!L25</f>
        <v>122</v>
      </c>
      <c r="D111" s="145" t="n">
        <f aca="false">DeploySum!L29</f>
        <v>2911850</v>
      </c>
      <c r="E111" s="145" t="n">
        <f aca="false">IF(B111+C111=0,"",D111/(B111+C111))</f>
        <v>19412.3333333333</v>
      </c>
      <c r="F111" s="145" t="n">
        <f aca="false">B111*($B$6+$B$7)+C111*$B$8</f>
        <v>2911850</v>
      </c>
      <c r="G111" s="145" t="n">
        <f aca="false">D111-F111</f>
        <v>0</v>
      </c>
      <c r="H111" s="145" t="n">
        <f aca="false">B111*($B$6+ROUND($B$7,0))+C111*$B$8</f>
        <v>2911864</v>
      </c>
      <c r="I111" s="145" t="n">
        <f aca="false">D111-H111</f>
        <v>-14</v>
      </c>
    </row>
    <row r="112" customFormat="false" ht="15" hidden="false" customHeight="false" outlineLevel="0" collapsed="false">
      <c r="A112" s="149" t="n">
        <f aca="false">DeploySum!M4</f>
        <v>46630</v>
      </c>
      <c r="B112" s="86" t="n">
        <f aca="false">DeploySum!M24</f>
        <v>28</v>
      </c>
      <c r="C112" s="86" t="n">
        <f aca="false">DeploySum!M25</f>
        <v>122</v>
      </c>
      <c r="D112" s="145" t="n">
        <f aca="false">DeploySum!M29</f>
        <v>2911850</v>
      </c>
      <c r="E112" s="145" t="n">
        <f aca="false">IF(B112+C112=0,"",D112/(B112+C112))</f>
        <v>19412.3333333333</v>
      </c>
      <c r="F112" s="145" t="n">
        <f aca="false">B112*($B$6+$B$7)+C112*$B$8</f>
        <v>2911850</v>
      </c>
      <c r="G112" s="145" t="n">
        <f aca="false">D112-F112</f>
        <v>0</v>
      </c>
      <c r="H112" s="145" t="n">
        <f aca="false">B112*($B$6+ROUND($B$7,0))+C112*$B$8</f>
        <v>2911864</v>
      </c>
      <c r="I112" s="145" t="n">
        <f aca="false">D112-H112</f>
        <v>-14</v>
      </c>
    </row>
    <row r="113" customFormat="false" ht="15" hidden="false" customHeight="false" outlineLevel="0" collapsed="false">
      <c r="A113" s="149" t="n">
        <f aca="false">DeploySum!N4</f>
        <v>46660</v>
      </c>
      <c r="B113" s="86" t="n">
        <f aca="false">DeploySum!N24</f>
        <v>34</v>
      </c>
      <c r="C113" s="86" t="n">
        <f aca="false">DeploySum!N25</f>
        <v>159</v>
      </c>
      <c r="D113" s="145" t="n">
        <f aca="false">DeploySum!N29</f>
        <v>3622675</v>
      </c>
      <c r="E113" s="145" t="n">
        <f aca="false">IF(B113+C113=0,"",D113/(B113+C113))</f>
        <v>18770.3367875648</v>
      </c>
      <c r="F113" s="145" t="n">
        <f aca="false">B113*($B$6+$B$7)+C113*$B$8</f>
        <v>3622675</v>
      </c>
      <c r="G113" s="145" t="n">
        <f aca="false">D113-F113</f>
        <v>0</v>
      </c>
      <c r="H113" s="145" t="n">
        <f aca="false">B113*($B$6+ROUND($B$7,0))+C113*$B$8</f>
        <v>3622692</v>
      </c>
      <c r="I113" s="145" t="n">
        <f aca="false">D113-H113</f>
        <v>-17</v>
      </c>
    </row>
    <row r="114" customFormat="false" ht="15" hidden="false" customHeight="false" outlineLevel="0" collapsed="false">
      <c r="A114" s="149" t="n">
        <f aca="false">DeploySum!O4</f>
        <v>46691</v>
      </c>
      <c r="B114" s="86" t="n">
        <f aca="false">DeploySum!O24</f>
        <v>36</v>
      </c>
      <c r="C114" s="86" t="n">
        <f aca="false">DeploySum!O25</f>
        <v>146</v>
      </c>
      <c r="D114" s="145" t="n">
        <f aca="false">DeploySum!O29</f>
        <v>3656950</v>
      </c>
      <c r="E114" s="145" t="n">
        <f aca="false">IF(B114+C114=0,"",D114/(B114+C114))</f>
        <v>20093.1318681319</v>
      </c>
      <c r="F114" s="145" t="n">
        <f aca="false">B114*($B$6+$B$7)+C114*$B$8</f>
        <v>3656950</v>
      </c>
      <c r="G114" s="145" t="n">
        <f aca="false">D114-F114</f>
        <v>0</v>
      </c>
      <c r="H114" s="145" t="n">
        <f aca="false">B114*($B$6+ROUND($B$7,0))+C114*$B$8</f>
        <v>3656968</v>
      </c>
      <c r="I114" s="145" t="n">
        <f aca="false">D114-H114</f>
        <v>-18</v>
      </c>
    </row>
    <row r="115" customFormat="false" ht="15" hidden="false" customHeight="false" outlineLevel="0" collapsed="false">
      <c r="A115" s="149" t="n">
        <f aca="false">DeploySum!P4</f>
        <v>46721</v>
      </c>
      <c r="B115" s="86" t="n">
        <f aca="false">DeploySum!P24</f>
        <v>42</v>
      </c>
      <c r="C115" s="86" t="n">
        <f aca="false">DeploySum!P25</f>
        <v>183</v>
      </c>
      <c r="D115" s="145" t="n">
        <f aca="false">DeploySum!P29</f>
        <v>4367775</v>
      </c>
      <c r="E115" s="145" t="n">
        <f aca="false">IF(B115+C115=0,"",D115/(B115+C115))</f>
        <v>19412.3333333333</v>
      </c>
      <c r="F115" s="145" t="n">
        <f aca="false">B115*($B$6+$B$7)+C115*$B$8</f>
        <v>4367775</v>
      </c>
      <c r="G115" s="145" t="n">
        <f aca="false">D115-F115</f>
        <v>0</v>
      </c>
      <c r="H115" s="145" t="n">
        <f aca="false">B115*($B$6+ROUND($B$7,0))+C115*$B$8</f>
        <v>4367796</v>
      </c>
      <c r="I115" s="145" t="n">
        <f aca="false">D115-H115</f>
        <v>-21</v>
      </c>
    </row>
    <row r="116" customFormat="false" ht="15" hidden="false" customHeight="false" outlineLevel="0" collapsed="false">
      <c r="A116" s="149" t="n">
        <f aca="false">DeploySum!Q4</f>
        <v>46752</v>
      </c>
      <c r="B116" s="86" t="n">
        <f aca="false">DeploySum!Q24</f>
        <v>48</v>
      </c>
      <c r="C116" s="86" t="n">
        <f aca="false">DeploySum!Q25</f>
        <v>220</v>
      </c>
      <c r="D116" s="145" t="n">
        <f aca="false">DeploySum!Q29</f>
        <v>5078600</v>
      </c>
      <c r="E116" s="145" t="n">
        <f aca="false">IF(B116+C116=0,"",D116/(B116+C116))</f>
        <v>18950</v>
      </c>
      <c r="F116" s="145" t="n">
        <f aca="false">B116*($B$6+$B$7)+C116*$B$8</f>
        <v>5078600</v>
      </c>
      <c r="G116" s="145" t="n">
        <f aca="false">D116-F116</f>
        <v>0</v>
      </c>
      <c r="H116" s="145" t="n">
        <f aca="false">B116*($B$6+ROUND($B$7,0))+C116*$B$8</f>
        <v>5078624</v>
      </c>
      <c r="I116" s="145" t="n">
        <f aca="false">D116-H116</f>
        <v>-24</v>
      </c>
    </row>
    <row r="117" customFormat="false" ht="15" hidden="false" customHeight="false" outlineLevel="0" collapsed="false">
      <c r="A117" s="138" t="s">
        <v>2500</v>
      </c>
      <c r="B117" s="86" t="n">
        <f aca="false">SUM(B101:B116)</f>
        <v>349</v>
      </c>
      <c r="C117" s="86" t="n">
        <f aca="false">SUM(C101:C116)</f>
        <v>1471</v>
      </c>
      <c r="D117" s="145" t="n">
        <f aca="false">SUM(D101:D116)</f>
        <v>35896987.5</v>
      </c>
      <c r="F117" s="145" t="n">
        <f aca="false">SUM(F101:F116)</f>
        <v>35896987.5</v>
      </c>
      <c r="G117" s="145" t="n">
        <f aca="false">SUM(G101:G116)</f>
        <v>0</v>
      </c>
      <c r="H117" s="145" t="n">
        <f aca="false">SUM(H101:H116)</f>
        <v>35897162</v>
      </c>
      <c r="I117" s="145" t="n">
        <f aca="false">SUM(I101:I116)</f>
        <v>-174.5</v>
      </c>
    </row>
    <row r="118" customFormat="false" ht="15" hidden="false" customHeight="false" outlineLevel="0" collapsed="false">
      <c r="A118" s="3" t="s">
        <v>2501</v>
      </c>
      <c r="G118" s="145" t="n">
        <f aca="false">SUMPRODUCT(MAX(ABS(G101:G116)))</f>
        <v>0</v>
      </c>
    </row>
    <row r="120" customFormat="false" ht="15" hidden="false" customHeight="false" outlineLevel="0" collapsed="false">
      <c r="A120" s="5" t="s">
        <v>2502</v>
      </c>
    </row>
    <row r="121" customFormat="false" ht="15" hidden="false" customHeight="false" outlineLevel="0" collapsed="false">
      <c r="A121" s="3" t="s">
        <v>2503</v>
      </c>
      <c r="B121" s="145" t="n">
        <f aca="false">R29*($B$6+$B$7)+R30*$B$8</f>
        <v>25572375</v>
      </c>
    </row>
    <row r="122" customFormat="false" ht="15" hidden="false" customHeight="false" outlineLevel="0" collapsed="false">
      <c r="A122" s="3" t="s">
        <v>2504</v>
      </c>
      <c r="B122" s="145" t="n">
        <f aca="false">DeploySum!R29</f>
        <v>32410900</v>
      </c>
    </row>
    <row r="123" customFormat="false" ht="15" hidden="false" customHeight="false" outlineLevel="0" collapsed="false">
      <c r="A123" s="3" t="s">
        <v>2505</v>
      </c>
      <c r="B123" s="145" t="n">
        <f aca="false">-DeploySum!R35</f>
        <v>-9446375</v>
      </c>
    </row>
    <row r="124" customFormat="false" ht="15" hidden="false" customHeight="false" outlineLevel="0" collapsed="false">
      <c r="A124" s="3" t="s">
        <v>2506</v>
      </c>
      <c r="B124" s="145" t="n">
        <f aca="false">DeploySum!D29+DeploySum!E29</f>
        <v>2607850</v>
      </c>
    </row>
    <row r="125" customFormat="false" ht="15" hidden="false" customHeight="false" outlineLevel="0" collapsed="false">
      <c r="A125" s="3" t="s">
        <v>2507</v>
      </c>
      <c r="B125" s="145" t="n">
        <f aca="false">SUM(B122:B124)</f>
        <v>25572375</v>
      </c>
    </row>
    <row r="126" customFormat="false" ht="15" hidden="false" customHeight="false" outlineLevel="0" collapsed="false">
      <c r="A126" s="3" t="s">
        <v>2508</v>
      </c>
      <c r="B126" s="145" t="n">
        <f aca="false">B121-B125</f>
        <v>0</v>
      </c>
    </row>
    <row r="128" customFormat="false" ht="15" hidden="false" customHeight="false" outlineLevel="0" collapsed="false">
      <c r="A128" s="5" t="s">
        <v>2509</v>
      </c>
    </row>
    <row r="129" customFormat="false" ht="15" hidden="false" customHeight="false" outlineLevel="0" collapsed="false">
      <c r="A129" s="3" t="s">
        <v>2510</v>
      </c>
    </row>
    <row r="130" customFormat="false" ht="15" hidden="false" customHeight="false" outlineLevel="0" collapsed="false">
      <c r="A130" s="2" t="s">
        <v>2371</v>
      </c>
      <c r="B130" s="2" t="s">
        <v>305</v>
      </c>
      <c r="C130" s="2" t="s">
        <v>2372</v>
      </c>
    </row>
    <row r="131" customFormat="false" ht="15" hidden="false" customHeight="false" outlineLevel="0" collapsed="false">
      <c r="A131" s="3" t="s">
        <v>2511</v>
      </c>
      <c r="B131" s="141" t="n">
        <v>1</v>
      </c>
      <c r="C131" s="3" t="s">
        <v>2512</v>
      </c>
    </row>
    <row r="132" customFormat="false" ht="15" hidden="false" customHeight="false" outlineLevel="0" collapsed="false">
      <c r="A132" s="3" t="s">
        <v>2513</v>
      </c>
      <c r="B132" s="141" t="n">
        <v>0</v>
      </c>
      <c r="C132" s="3" t="s">
        <v>2512</v>
      </c>
    </row>
    <row r="133" customFormat="false" ht="15" hidden="false" customHeight="false" outlineLevel="0" collapsed="false">
      <c r="A133" s="3" t="s">
        <v>2514</v>
      </c>
      <c r="B133" s="141" t="n">
        <v>2</v>
      </c>
      <c r="C133" s="3" t="s">
        <v>2382</v>
      </c>
    </row>
    <row r="134" customFormat="false" ht="15" hidden="false" customHeight="false" outlineLevel="0" collapsed="false">
      <c r="A134" s="3" t="s">
        <v>2515</v>
      </c>
      <c r="B134" s="86" t="n">
        <f aca="false">SUMPRODUCT(ABS(DeploySum!F19:Q19-DeploySum!D24:O24))+SUMPRODUCT(ABS(DeploySum!F20:Q20-DeploySum!D25:O25))</f>
        <v>0</v>
      </c>
    </row>
    <row r="135" customFormat="false" ht="15" hidden="false" customHeight="false" outlineLevel="0" collapsed="false">
      <c r="A135" s="3" t="s">
        <v>2516</v>
      </c>
      <c r="B135" s="141" t="n">
        <v>1</v>
      </c>
      <c r="C135" s="3" t="s">
        <v>2512</v>
      </c>
    </row>
    <row r="136" customFormat="false" ht="15" hidden="false" customHeight="false" outlineLevel="0" collapsed="false">
      <c r="A136" s="2" t="s">
        <v>339</v>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2" t="s">
        <v>2325</v>
      </c>
      <c r="S136" s="2" t="s">
        <v>2417</v>
      </c>
    </row>
    <row r="137" customFormat="false" ht="15" hidden="false" customHeight="false" outlineLevel="0" collapsed="false">
      <c r="A137" s="3" t="s">
        <v>2517</v>
      </c>
      <c r="B137" s="145" t="n">
        <f aca="false">'Prod Payroll'!B41</f>
        <v>60378.8021625</v>
      </c>
      <c r="C137" s="145" t="n">
        <f aca="false">'Prod Payroll'!C41</f>
        <v>57378.8021625</v>
      </c>
      <c r="D137" s="145" t="n">
        <f aca="false">'Prod Payroll'!D41</f>
        <v>98625.950872</v>
      </c>
      <c r="E137" s="145" t="n">
        <f aca="false">'Prod Payroll'!E41</f>
        <v>94265.685696</v>
      </c>
      <c r="F137" s="145" t="n">
        <f aca="false">'Prod Payroll'!F41</f>
        <v>91806.08346</v>
      </c>
      <c r="G137" s="145" t="n">
        <f aca="false">'Prod Payroll'!G41</f>
        <v>112019.72410875</v>
      </c>
      <c r="H137" s="145" t="n">
        <f aca="false">'Prod Payroll'!H41</f>
        <v>109019.72410875</v>
      </c>
      <c r="I137" s="145" t="n">
        <f aca="false">'Prod Payroll'!I41</f>
        <v>109019.72410875</v>
      </c>
      <c r="J137" s="145" t="n">
        <f aca="false">'Prod Payroll'!J41</f>
        <v>109993.3166605</v>
      </c>
      <c r="K137" s="145" t="n">
        <f aca="false">'Prod Payroll'!K41</f>
        <v>110966.90921225</v>
      </c>
      <c r="L137" s="145" t="n">
        <f aca="false">'Prod Payroll'!L41</f>
        <v>132615.317832</v>
      </c>
      <c r="M137" s="145" t="n">
        <f aca="false">'Prod Payroll'!M41</f>
        <v>128488.0001405</v>
      </c>
      <c r="N137" s="145" t="n">
        <f aca="false">'Prod Payroll'!N41</f>
        <v>146447.00540625</v>
      </c>
      <c r="O137" s="145" t="n">
        <f aca="false">'Prod Payroll'!O41</f>
        <v>166931.237778263</v>
      </c>
      <c r="P137" s="145" t="n">
        <f aca="false">'Prod Payroll'!P41</f>
        <v>192551.701243815</v>
      </c>
      <c r="Q137" s="145" t="n">
        <f aca="false">'Prod Payroll'!Q41</f>
        <v>212564.40251292</v>
      </c>
      <c r="R137" s="145" t="n">
        <f aca="false">SUM(F137:Q137)</f>
        <v>1622423.14657275</v>
      </c>
      <c r="S137" s="3" t="s">
        <v>2518</v>
      </c>
    </row>
    <row r="138" customFormat="false" ht="15" hidden="false" customHeight="false" outlineLevel="0" collapsed="false">
      <c r="A138" s="3" t="s">
        <v>2519</v>
      </c>
      <c r="B138" s="145" t="n">
        <f aca="false">'Prod Payroll'!B62</f>
        <v>18285.14071375</v>
      </c>
      <c r="C138" s="145" t="n">
        <f aca="false">'Prod Payroll'!C62</f>
        <v>17285.14071375</v>
      </c>
      <c r="D138" s="145" t="n">
        <f aca="false">'Prod Payroll'!D62</f>
        <v>37877.731707</v>
      </c>
      <c r="E138" s="145" t="n">
        <f aca="false">'Prod Payroll'!E62</f>
        <v>35492.632266</v>
      </c>
      <c r="F138" s="145" t="n">
        <f aca="false">'Prod Payroll'!F62</f>
        <v>34570.2814275</v>
      </c>
      <c r="G138" s="145" t="n">
        <f aca="false">'Prod Payroll'!G62</f>
        <v>54855.42214125</v>
      </c>
      <c r="H138" s="145" t="n">
        <f aca="false">'Prod Payroll'!H62</f>
        <v>51855.42214125</v>
      </c>
      <c r="I138" s="145" t="n">
        <f aca="false">'Prod Payroll'!I62</f>
        <v>51855.42214125</v>
      </c>
      <c r="J138" s="145" t="n">
        <f aca="false">'Prod Payroll'!J62</f>
        <v>52316.5975605</v>
      </c>
      <c r="K138" s="145" t="n">
        <f aca="false">'Prod Payroll'!K62</f>
        <v>52777.77297975</v>
      </c>
      <c r="L138" s="145" t="n">
        <f aca="false">'Prod Payroll'!L62</f>
        <v>53238.948399</v>
      </c>
      <c r="M138" s="145" t="n">
        <f aca="false">'Prod Payroll'!M62</f>
        <v>52777.77297975</v>
      </c>
      <c r="N138" s="145" t="n">
        <f aca="false">'Prod Payroll'!N62</f>
        <v>72140.562855</v>
      </c>
      <c r="O138" s="145" t="n">
        <f aca="false">'Prod Payroll'!O62</f>
        <v>70696.2255192375</v>
      </c>
      <c r="P138" s="145" t="n">
        <f aca="false">'Prod Payroll'!P62</f>
        <v>91763.827194315</v>
      </c>
      <c r="Q138" s="145" t="n">
        <f aca="false">'Prod Payroll'!Q62</f>
        <v>90328.74911697</v>
      </c>
      <c r="R138" s="145" t="n">
        <f aca="false">SUM(F138:Q138)</f>
        <v>729177.004455773</v>
      </c>
    </row>
    <row r="139" customFormat="false" ht="15" hidden="false" customHeight="false" outlineLevel="0" collapsed="false">
      <c r="A139" s="3" t="s">
        <v>2520</v>
      </c>
      <c r="B139" s="145" t="n">
        <f aca="false">'Prod Payroll'!B79</f>
        <v>12187.5</v>
      </c>
      <c r="C139" s="145" t="n">
        <f aca="false">'Prod Payroll'!C79</f>
        <v>7187.5</v>
      </c>
      <c r="D139" s="145" t="n">
        <f aca="false">'Prod Payroll'!D79</f>
        <v>19375</v>
      </c>
      <c r="E139" s="145" t="n">
        <f aca="false">'Prod Payroll'!E79</f>
        <v>14375</v>
      </c>
      <c r="F139" s="145" t="n">
        <f aca="false">'Prod Payroll'!F79</f>
        <v>14375</v>
      </c>
      <c r="G139" s="145" t="n">
        <f aca="false">'Prod Payroll'!G79</f>
        <v>14375</v>
      </c>
      <c r="H139" s="145" t="n">
        <f aca="false">'Prod Payroll'!H79</f>
        <v>14375</v>
      </c>
      <c r="I139" s="145" t="n">
        <f aca="false">'Prod Payroll'!I79</f>
        <v>14375</v>
      </c>
      <c r="J139" s="145" t="n">
        <f aca="false">'Prod Payroll'!J79</f>
        <v>14375</v>
      </c>
      <c r="K139" s="145" t="n">
        <f aca="false">'Prod Payroll'!K79</f>
        <v>14375</v>
      </c>
      <c r="L139" s="145" t="n">
        <f aca="false">'Prod Payroll'!L79</f>
        <v>26562.5</v>
      </c>
      <c r="M139" s="145" t="n">
        <f aca="false">'Prod Payroll'!M79</f>
        <v>21562.5</v>
      </c>
      <c r="N139" s="145" t="n">
        <f aca="false">'Prod Payroll'!N79</f>
        <v>21562.5</v>
      </c>
      <c r="O139" s="145" t="n">
        <f aca="false">'Prod Payroll'!O79</f>
        <v>21993.75</v>
      </c>
      <c r="P139" s="145" t="n">
        <f aca="false">'Prod Payroll'!P79</f>
        <v>34181.25</v>
      </c>
      <c r="Q139" s="145" t="n">
        <f aca="false">'Prod Payroll'!Q79</f>
        <v>29181.25</v>
      </c>
      <c r="R139" s="145" t="n">
        <f aca="false">SUM(F139:Q139)</f>
        <v>241293.75</v>
      </c>
    </row>
    <row r="140" customFormat="false" ht="15" hidden="false" customHeight="false" outlineLevel="0" collapsed="false">
      <c r="A140" s="3" t="s">
        <v>2521</v>
      </c>
      <c r="B140" s="145" t="n">
        <f aca="false">'Prod Payroll'!B81</f>
        <v>90851.44287625</v>
      </c>
      <c r="C140" s="145" t="n">
        <f aca="false">'Prod Payroll'!C81</f>
        <v>81851.44287625</v>
      </c>
      <c r="D140" s="145" t="n">
        <f aca="false">'Prod Payroll'!D81</f>
        <v>155878.682579</v>
      </c>
      <c r="E140" s="145" t="n">
        <f aca="false">'Prod Payroll'!E81</f>
        <v>144133.317962</v>
      </c>
      <c r="F140" s="145" t="n">
        <f aca="false">'Prod Payroll'!F81</f>
        <v>140751.3648875</v>
      </c>
      <c r="G140" s="145" t="n">
        <f aca="false">'Prod Payroll'!G81</f>
        <v>181250.14625</v>
      </c>
      <c r="H140" s="145" t="n">
        <f aca="false">'Prod Payroll'!H81</f>
        <v>175250.14625</v>
      </c>
      <c r="I140" s="145" t="n">
        <f aca="false">'Prod Payroll'!I81</f>
        <v>175250.14625</v>
      </c>
      <c r="J140" s="145" t="n">
        <f aca="false">'Prod Payroll'!J81</f>
        <v>176684.914221</v>
      </c>
      <c r="K140" s="145" t="n">
        <f aca="false">'Prod Payroll'!K81</f>
        <v>178119.682192</v>
      </c>
      <c r="L140" s="145" t="n">
        <f aca="false">'Prod Payroll'!L81</f>
        <v>212416.766231</v>
      </c>
      <c r="M140" s="145" t="n">
        <f aca="false">'Prod Payroll'!M81</f>
        <v>202828.27312025</v>
      </c>
      <c r="N140" s="145" t="n">
        <f aca="false">'Prod Payroll'!N81</f>
        <v>240150.06826125</v>
      </c>
      <c r="O140" s="145" t="n">
        <f aca="false">'Prod Payroll'!O81</f>
        <v>259621.2132975</v>
      </c>
      <c r="P140" s="145" t="n">
        <f aca="false">'Prod Payroll'!P81</f>
        <v>318496.77843813</v>
      </c>
      <c r="Q140" s="145" t="n">
        <f aca="false">'Prod Payroll'!Q81</f>
        <v>332074.40162989</v>
      </c>
      <c r="R140" s="145" t="n">
        <f aca="false">SUM(F140:Q140)</f>
        <v>2592893.90102852</v>
      </c>
    </row>
    <row r="141" customFormat="false" ht="15" hidden="false" customHeight="false" outlineLevel="0" collapsed="false">
      <c r="A141" s="3" t="s">
        <v>2522</v>
      </c>
      <c r="B141" s="145" t="n">
        <f aca="false">'Prod Payroll'!$B$9*'Prod Payroll'!$B$5/12*(1+IF(B$136&gt;='Prod Payroll'!$M$6,'Prod Payroll'!$M$5,0))*((1+'Prod Payroll'!B$33+'Prod Payroll'!B$35*'Prod Payroll'!$M$10)*(1+'Prod Payroll'!$B$6)+'Prod Payroll'!$B$7)</f>
        <v>40165.16151375</v>
      </c>
      <c r="C141" s="145" t="n">
        <f aca="false">'Prod Payroll'!$B$9*'Prod Payroll'!$B$5/12*(1+IF(C$136&gt;='Prod Payroll'!$M$6,'Prod Payroll'!$M$5,0))*((1+'Prod Payroll'!C$33+'Prod Payroll'!C$35*'Prod Payroll'!$M$10)*(1+'Prod Payroll'!$B$6)+'Prod Payroll'!$B$7)</f>
        <v>40165.16151375</v>
      </c>
      <c r="D141" s="145" t="n">
        <f aca="false">'Prod Payroll'!$B$9*'Prod Payroll'!$B$5/12*(1+IF(D$136&gt;='Prod Payroll'!$M$6,'Prod Payroll'!$M$5,0))*((1+'Prod Payroll'!D$33+'Prod Payroll'!D$35*'Prod Payroll'!$M$10)*(1+'Prod Payroll'!$B$6)+'Prod Payroll'!$B$7)</f>
        <v>40523.8535065</v>
      </c>
      <c r="E141" s="145" t="n">
        <f aca="false">'Prod Payroll'!$B$9*'Prod Payroll'!$B$5/12*(1+IF(E$136&gt;='Prod Payroll'!$M$6,'Prod Payroll'!$M$5,0))*((1+'Prod Payroll'!E$33+'Prod Payroll'!E$35*'Prod Payroll'!$M$10)*(1+'Prod Payroll'!$B$6)+'Prod Payroll'!$B$7)</f>
        <v>41241.237492</v>
      </c>
      <c r="F141" s="145" t="n">
        <f aca="false">'Prod Payroll'!$B$9*'Prod Payroll'!$B$5/12*(1+IF(F$136&gt;='Prod Payroll'!$M$6,'Prod Payroll'!$M$5,0))*((1+'Prod Payroll'!F$33+'Prod Payroll'!F$35*'Prod Payroll'!$M$10)*(1+'Prod Payroll'!$B$6)+'Prod Payroll'!$B$7)</f>
        <v>40165.16151375</v>
      </c>
      <c r="G141" s="145" t="n">
        <f aca="false">'Prod Payroll'!$B$9*'Prod Payroll'!$B$5/12*(1+IF(G$136&gt;='Prod Payroll'!$M$6,'Prod Payroll'!$M$5,0))*((1+'Prod Payroll'!G$33+'Prod Payroll'!G$35*'Prod Payroll'!$M$10)*(1+'Prod Payroll'!$B$6)+'Prod Payroll'!$B$7)</f>
        <v>40165.16151375</v>
      </c>
      <c r="H141" s="145" t="n">
        <f aca="false">'Prod Payroll'!$B$9*'Prod Payroll'!$B$5/12*(1+IF(H$136&gt;='Prod Payroll'!$M$6,'Prod Payroll'!$M$5,0))*((1+'Prod Payroll'!H$33+'Prod Payroll'!H$35*'Prod Payroll'!$M$10)*(1+'Prod Payroll'!$B$6)+'Prod Payroll'!$B$7)</f>
        <v>40165.16151375</v>
      </c>
      <c r="I141" s="145" t="n">
        <f aca="false">'Prod Payroll'!$B$9*'Prod Payroll'!$B$5/12*(1+IF(I$136&gt;='Prod Payroll'!$M$6,'Prod Payroll'!$M$5,0))*((1+'Prod Payroll'!I$33+'Prod Payroll'!I$35*'Prod Payroll'!$M$10)*(1+'Prod Payroll'!$B$6)+'Prod Payroll'!$B$7)</f>
        <v>40165.16151375</v>
      </c>
      <c r="J141" s="145" t="n">
        <f aca="false">'Prod Payroll'!$B$9*'Prod Payroll'!$B$5/12*(1+IF(J$136&gt;='Prod Payroll'!$M$6,'Prod Payroll'!$M$5,0))*((1+'Prod Payroll'!J$33+'Prod Payroll'!J$35*'Prod Payroll'!$M$10)*(1+'Prod Payroll'!$B$6)+'Prod Payroll'!$B$7)</f>
        <v>40523.8535065</v>
      </c>
      <c r="K141" s="145" t="n">
        <f aca="false">'Prod Payroll'!$B$9*'Prod Payroll'!$B$5/12*(1+IF(K$136&gt;='Prod Payroll'!$M$6,'Prod Payroll'!$M$5,0))*((1+'Prod Payroll'!K$33+'Prod Payroll'!K$35*'Prod Payroll'!$M$10)*(1+'Prod Payroll'!$B$6)+'Prod Payroll'!$B$7)</f>
        <v>40882.54549925</v>
      </c>
      <c r="L141" s="145" t="n">
        <f aca="false">'Prod Payroll'!$B$9*'Prod Payroll'!$B$5/12*(1+IF(L$136&gt;='Prod Payroll'!$M$6,'Prod Payroll'!$M$5,0))*((1+'Prod Payroll'!L$33+'Prod Payroll'!L$35*'Prod Payroll'!$M$10)*(1+'Prod Payroll'!$B$6)+'Prod Payroll'!$B$7)</f>
        <v>41241.237492</v>
      </c>
      <c r="M141" s="145" t="n">
        <f aca="false">'Prod Payroll'!$B$9*'Prod Payroll'!$B$5/12*(1+IF(M$136&gt;='Prod Payroll'!$M$6,'Prod Payroll'!$M$5,0))*((1+'Prod Payroll'!M$33+'Prod Payroll'!M$35*'Prod Payroll'!$M$10)*(1+'Prod Payroll'!$B$6)+'Prod Payroll'!$B$7)</f>
        <v>40882.54549925</v>
      </c>
      <c r="N141" s="145" t="n">
        <f aca="false">'Prod Payroll'!$B$9*'Prod Payroll'!$B$5/12*(1+IF(N$136&gt;='Prod Payroll'!$M$6,'Prod Payroll'!$M$5,0))*((1+'Prod Payroll'!N$33+'Prod Payroll'!N$35*'Prod Payroll'!$M$10)*(1+'Prod Payroll'!$B$6)+'Prod Payroll'!$B$7)</f>
        <v>40165.16151375</v>
      </c>
      <c r="O141" s="145" t="n">
        <f aca="false">'Prod Payroll'!$B$9*'Prod Payroll'!$B$5/12*(1+IF(O$136&gt;='Prod Payroll'!$M$6,'Prod Payroll'!$M$5,0))*((1+'Prod Payroll'!O$33+'Prod Payroll'!O$35*'Prod Payroll'!$M$10)*(1+'Prod Payroll'!$B$6)+'Prod Payroll'!$B$7)</f>
        <v>41370.1163591625</v>
      </c>
      <c r="P141" s="145" t="n">
        <f aca="false">'Prod Payroll'!$B$9*'Prod Payroll'!$B$5/12*(1+IF(P$136&gt;='Prod Payroll'!$M$6,'Prod Payroll'!$M$5,0))*((1+'Prod Payroll'!P$33+'Prod Payroll'!P$35*'Prod Payroll'!$M$10)*(1+'Prod Payroll'!$B$6)+'Prod Payroll'!$B$7)</f>
        <v>41739.569111695</v>
      </c>
      <c r="Q141" s="145" t="n">
        <f aca="false">'Prod Payroll'!$B$9*'Prod Payroll'!$B$5/12*(1+IF(Q$136&gt;='Prod Payroll'!$M$6,'Prod Payroll'!$M$5,0))*((1+'Prod Payroll'!Q$33+'Prod Payroll'!Q$35*'Prod Payroll'!$M$10)*(1+'Prod Payroll'!$B$6)+'Prod Payroll'!$B$7)</f>
        <v>42478.47461676</v>
      </c>
      <c r="R141" s="145" t="n">
        <f aca="false">SUM(F141:Q141)</f>
        <v>489944.149653367</v>
      </c>
      <c r="S141" s="3" t="s">
        <v>2523</v>
      </c>
    </row>
    <row r="142" customFormat="false" ht="15" hidden="false" customHeight="false" outlineLevel="0" collapsed="false">
      <c r="A142" s="3" t="s">
        <v>2524</v>
      </c>
      <c r="B142" s="145" t="n">
        <f aca="false">'Prod Payroll'!$C$9*'Prod Payroll'!$C$5/12*(1+IF(B$136&gt;='Prod Payroll'!$M$6,'Prod Payroll'!$M$5,0))*((1+'Prod Payroll'!B$54+'Prod Payroll'!B$56*'Prod Payroll'!$M$10)*(1+'Prod Payroll'!$C$6)+'Prod Payroll'!$C$7)</f>
        <v>11523.4271425</v>
      </c>
      <c r="C142" s="145" t="n">
        <f aca="false">'Prod Payroll'!$C$9*'Prod Payroll'!$C$5/12*(1+IF(C$136&gt;='Prod Payroll'!$M$6,'Prod Payroll'!$M$5,0))*((1+'Prod Payroll'!C$54+'Prod Payroll'!C$56*'Prod Payroll'!$M$10)*(1+'Prod Payroll'!$C$6)+'Prod Payroll'!$C$7)</f>
        <v>11523.4271425</v>
      </c>
      <c r="D142" s="145" t="n">
        <f aca="false">'Prod Payroll'!$C$9*'Prod Payroll'!$C$5/12*(1+IF(D$136&gt;='Prod Payroll'!$M$6,'Prod Payroll'!$M$5,0))*((1+'Prod Payroll'!D$54+'Prod Payroll'!D$56*'Prod Payroll'!$M$10)*(1+'Prod Payroll'!$C$6)+'Prod Payroll'!$C$7)</f>
        <v>11625.910569</v>
      </c>
      <c r="E142" s="145" t="n">
        <f aca="false">'Prod Payroll'!$C$9*'Prod Payroll'!$C$5/12*(1+IF(E$136&gt;='Prod Payroll'!$M$6,'Prod Payroll'!$M$5,0))*((1+'Prod Payroll'!E$54+'Prod Payroll'!E$56*'Prod Payroll'!$M$10)*(1+'Prod Payroll'!$C$6)+'Prod Payroll'!$C$7)</f>
        <v>11830.877422</v>
      </c>
      <c r="F142" s="145" t="n">
        <f aca="false">'Prod Payroll'!$C$9*'Prod Payroll'!$C$5/12*(1+IF(F$136&gt;='Prod Payroll'!$M$6,'Prod Payroll'!$M$5,0))*((1+'Prod Payroll'!F$54+'Prod Payroll'!F$56*'Prod Payroll'!$M$10)*(1+'Prod Payroll'!$C$6)+'Prod Payroll'!$C$7)</f>
        <v>11523.4271425</v>
      </c>
      <c r="G142" s="145" t="n">
        <f aca="false">'Prod Payroll'!$C$9*'Prod Payroll'!$C$5/12*(1+IF(G$136&gt;='Prod Payroll'!$M$6,'Prod Payroll'!$M$5,0))*((1+'Prod Payroll'!G$54+'Prod Payroll'!G$56*'Prod Payroll'!$M$10)*(1+'Prod Payroll'!$C$6)+'Prod Payroll'!$C$7)</f>
        <v>11523.4271425</v>
      </c>
      <c r="H142" s="145" t="n">
        <f aca="false">'Prod Payroll'!$C$9*'Prod Payroll'!$C$5/12*(1+IF(H$136&gt;='Prod Payroll'!$M$6,'Prod Payroll'!$M$5,0))*((1+'Prod Payroll'!H$54+'Prod Payroll'!H$56*'Prod Payroll'!$M$10)*(1+'Prod Payroll'!$C$6)+'Prod Payroll'!$C$7)</f>
        <v>11523.4271425</v>
      </c>
      <c r="I142" s="145" t="n">
        <f aca="false">'Prod Payroll'!$C$9*'Prod Payroll'!$C$5/12*(1+IF(I$136&gt;='Prod Payroll'!$M$6,'Prod Payroll'!$M$5,0))*((1+'Prod Payroll'!I$54+'Prod Payroll'!I$56*'Prod Payroll'!$M$10)*(1+'Prod Payroll'!$C$6)+'Prod Payroll'!$C$7)</f>
        <v>11523.4271425</v>
      </c>
      <c r="J142" s="145" t="n">
        <f aca="false">'Prod Payroll'!$C$9*'Prod Payroll'!$C$5/12*(1+IF(J$136&gt;='Prod Payroll'!$M$6,'Prod Payroll'!$M$5,0))*((1+'Prod Payroll'!J$54+'Prod Payroll'!J$56*'Prod Payroll'!$M$10)*(1+'Prod Payroll'!$C$6)+'Prod Payroll'!$C$7)</f>
        <v>11625.910569</v>
      </c>
      <c r="K142" s="145" t="n">
        <f aca="false">'Prod Payroll'!$C$9*'Prod Payroll'!$C$5/12*(1+IF(K$136&gt;='Prod Payroll'!$M$6,'Prod Payroll'!$M$5,0))*((1+'Prod Payroll'!K$54+'Prod Payroll'!K$56*'Prod Payroll'!$M$10)*(1+'Prod Payroll'!$C$6)+'Prod Payroll'!$C$7)</f>
        <v>11728.3939955</v>
      </c>
      <c r="L142" s="145" t="n">
        <f aca="false">'Prod Payroll'!$C$9*'Prod Payroll'!$C$5/12*(1+IF(L$136&gt;='Prod Payroll'!$M$6,'Prod Payroll'!$M$5,0))*((1+'Prod Payroll'!L$54+'Prod Payroll'!L$56*'Prod Payroll'!$M$10)*(1+'Prod Payroll'!$C$6)+'Prod Payroll'!$C$7)</f>
        <v>11830.877422</v>
      </c>
      <c r="M142" s="145" t="n">
        <f aca="false">'Prod Payroll'!$C$9*'Prod Payroll'!$C$5/12*(1+IF(M$136&gt;='Prod Payroll'!$M$6,'Prod Payroll'!$M$5,0))*((1+'Prod Payroll'!M$54+'Prod Payroll'!M$56*'Prod Payroll'!$M$10)*(1+'Prod Payroll'!$C$6)+'Prod Payroll'!$C$7)</f>
        <v>11728.3939955</v>
      </c>
      <c r="N142" s="145" t="n">
        <f aca="false">'Prod Payroll'!$C$9*'Prod Payroll'!$C$5/12*(1+IF(N$136&gt;='Prod Payroll'!$M$6,'Prod Payroll'!$M$5,0))*((1+'Prod Payroll'!N$54+'Prod Payroll'!N$56*'Prod Payroll'!$M$10)*(1+'Prod Payroll'!$C$6)+'Prod Payroll'!$C$7)</f>
        <v>11523.4271425</v>
      </c>
      <c r="O142" s="145" t="n">
        <f aca="false">'Prod Payroll'!$C$9*'Prod Payroll'!$C$5/12*(1+IF(O$136&gt;='Prod Payroll'!$M$6,'Prod Payroll'!$M$5,0))*((1+'Prod Payroll'!O$54+'Prod Payroll'!O$56*'Prod Payroll'!$M$10)*(1+'Prod Payroll'!$C$6)+'Prod Payroll'!$C$7)</f>
        <v>11869.129956775</v>
      </c>
      <c r="P142" s="145" t="n">
        <f aca="false">'Prod Payroll'!$C$9*'Prod Payroll'!$C$5/12*(1+IF(P$136&gt;='Prod Payroll'!$M$6,'Prod Payroll'!$M$5,0))*((1+'Prod Payroll'!P$54+'Prod Payroll'!P$56*'Prod Payroll'!$M$10)*(1+'Prod Payroll'!$C$6)+'Prod Payroll'!$C$7)</f>
        <v>11974.68788607</v>
      </c>
      <c r="Q142" s="145" t="n">
        <f aca="false">'Prod Payroll'!$C$9*'Prod Payroll'!$C$5/12*(1+IF(Q$136&gt;='Prod Payroll'!$M$6,'Prod Payroll'!$M$5,0))*((1+'Prod Payroll'!Q$54+'Prod Payroll'!Q$56*'Prod Payroll'!$M$10)*(1+'Prod Payroll'!$C$6)+'Prod Payroll'!$C$7)</f>
        <v>12185.80374466</v>
      </c>
      <c r="R142" s="145" t="n">
        <f aca="false">SUM(F142:Q142)</f>
        <v>140560.333282005</v>
      </c>
    </row>
    <row r="143" customFormat="false" ht="15" hidden="false" customHeight="false" outlineLevel="0" collapsed="false">
      <c r="A143" s="3" t="s">
        <v>2525</v>
      </c>
      <c r="B143" s="145" t="n">
        <f aca="false">(B137-(1-$B$131)*B141)*$B$132</f>
        <v>0</v>
      </c>
      <c r="C143" s="145" t="n">
        <f aca="false">(C137-(1-$B$131)*C141)*$B$132</f>
        <v>0</v>
      </c>
      <c r="D143" s="145" t="n">
        <f aca="false">(D137-(1-$B$131)*D141)*$B$132</f>
        <v>0</v>
      </c>
      <c r="E143" s="145" t="n">
        <f aca="false">(E137-(1-$B$131)*E141)*$B$132</f>
        <v>0</v>
      </c>
      <c r="F143" s="145" t="n">
        <f aca="false">(F137-(1-$B$131)*F141)</f>
        <v>91806.08346</v>
      </c>
      <c r="G143" s="145" t="n">
        <f aca="false">(G137-(1-$B$131)*G141)</f>
        <v>112019.72410875</v>
      </c>
      <c r="H143" s="145" t="n">
        <f aca="false">(H137-(1-$B$131)*H141)</f>
        <v>109019.72410875</v>
      </c>
      <c r="I143" s="145" t="n">
        <f aca="false">(I137-(1-$B$131)*I141)</f>
        <v>109019.72410875</v>
      </c>
      <c r="J143" s="145" t="n">
        <f aca="false">(J137-(1-$B$131)*J141)</f>
        <v>109993.3166605</v>
      </c>
      <c r="K143" s="145" t="n">
        <f aca="false">(K137-(1-$B$131)*K141)</f>
        <v>110966.90921225</v>
      </c>
      <c r="L143" s="145" t="n">
        <f aca="false">(L137-(1-$B$131)*L141)</f>
        <v>132615.317832</v>
      </c>
      <c r="M143" s="145" t="n">
        <f aca="false">(M137-(1-$B$131)*M141)</f>
        <v>128488.0001405</v>
      </c>
      <c r="N143" s="145" t="n">
        <f aca="false">(N137-(1-$B$131)*N141)</f>
        <v>146447.00540625</v>
      </c>
      <c r="O143" s="145" t="n">
        <f aca="false">(O137-(1-$B$131)*O141)</f>
        <v>166931.237778263</v>
      </c>
      <c r="P143" s="145" t="n">
        <f aca="false">(P137-(1-$B$131)*P141)</f>
        <v>192551.701243815</v>
      </c>
      <c r="Q143" s="145" t="n">
        <f aca="false">(Q137-(1-$B$131)*Q141)</f>
        <v>212564.40251292</v>
      </c>
      <c r="R143" s="145" t="n">
        <f aca="false">SUM(F143:Q143)</f>
        <v>1622423.14657275</v>
      </c>
      <c r="S143" s="3" t="s">
        <v>2526</v>
      </c>
    </row>
    <row r="144" customFormat="false" ht="15" hidden="false" customHeight="false" outlineLevel="0" collapsed="false">
      <c r="A144" s="3" t="s">
        <v>2527</v>
      </c>
      <c r="B144" s="145" t="n">
        <f aca="false">(B138-(1-$B$131)*B142)*$B$132</f>
        <v>0</v>
      </c>
      <c r="C144" s="145" t="n">
        <f aca="false">(C138-(1-$B$131)*C142)*$B$132</f>
        <v>0</v>
      </c>
      <c r="D144" s="145" t="n">
        <f aca="false">(D138-(1-$B$131)*D142)*$B$132</f>
        <v>0</v>
      </c>
      <c r="E144" s="145" t="n">
        <f aca="false">(E138-(1-$B$131)*E142)*$B$132</f>
        <v>0</v>
      </c>
      <c r="F144" s="145" t="n">
        <f aca="false">(F138-(1-$B$131)*F142)</f>
        <v>34570.2814275</v>
      </c>
      <c r="G144" s="145" t="n">
        <f aca="false">(G138-(1-$B$131)*G142)</f>
        <v>54855.42214125</v>
      </c>
      <c r="H144" s="145" t="n">
        <f aca="false">(H138-(1-$B$131)*H142)</f>
        <v>51855.42214125</v>
      </c>
      <c r="I144" s="145" t="n">
        <f aca="false">(I138-(1-$B$131)*I142)</f>
        <v>51855.42214125</v>
      </c>
      <c r="J144" s="145" t="n">
        <f aca="false">(J138-(1-$B$131)*J142)</f>
        <v>52316.5975605</v>
      </c>
      <c r="K144" s="145" t="n">
        <f aca="false">(K138-(1-$B$131)*K142)</f>
        <v>52777.77297975</v>
      </c>
      <c r="L144" s="145" t="n">
        <f aca="false">(L138-(1-$B$131)*L142)</f>
        <v>53238.948399</v>
      </c>
      <c r="M144" s="145" t="n">
        <f aca="false">(M138-(1-$B$131)*M142)</f>
        <v>52777.77297975</v>
      </c>
      <c r="N144" s="145" t="n">
        <f aca="false">(N138-(1-$B$131)*N142)</f>
        <v>72140.562855</v>
      </c>
      <c r="O144" s="145" t="n">
        <f aca="false">(O138-(1-$B$131)*O142)</f>
        <v>70696.2255192375</v>
      </c>
      <c r="P144" s="145" t="n">
        <f aca="false">(P138-(1-$B$131)*P142)</f>
        <v>91763.827194315</v>
      </c>
      <c r="Q144" s="145" t="n">
        <f aca="false">(Q138-(1-$B$131)*Q142)</f>
        <v>90328.74911697</v>
      </c>
      <c r="R144" s="145" t="n">
        <f aca="false">SUM(F144:Q144)</f>
        <v>729177.004455773</v>
      </c>
    </row>
    <row r="145" customFormat="false" ht="15" hidden="false" customHeight="false" outlineLevel="0" collapsed="false">
      <c r="A145" s="3" t="s">
        <v>2528</v>
      </c>
      <c r="B145" s="145" t="n">
        <f aca="false">B139*$B$132</f>
        <v>0</v>
      </c>
      <c r="C145" s="145" t="n">
        <f aca="false">C139*$B$132</f>
        <v>0</v>
      </c>
      <c r="D145" s="145" t="n">
        <f aca="false">D139*$B$132</f>
        <v>0</v>
      </c>
      <c r="E145" s="145" t="n">
        <f aca="false">E139*$B$132</f>
        <v>0</v>
      </c>
      <c r="F145" s="145" t="n">
        <f aca="false">F139</f>
        <v>14375</v>
      </c>
      <c r="G145" s="145" t="n">
        <f aca="false">G139</f>
        <v>14375</v>
      </c>
      <c r="H145" s="145" t="n">
        <f aca="false">H139</f>
        <v>14375</v>
      </c>
      <c r="I145" s="145" t="n">
        <f aca="false">I139</f>
        <v>14375</v>
      </c>
      <c r="J145" s="145" t="n">
        <f aca="false">J139</f>
        <v>14375</v>
      </c>
      <c r="K145" s="145" t="n">
        <f aca="false">K139</f>
        <v>14375</v>
      </c>
      <c r="L145" s="145" t="n">
        <f aca="false">L139</f>
        <v>26562.5</v>
      </c>
      <c r="M145" s="145" t="n">
        <f aca="false">M139</f>
        <v>21562.5</v>
      </c>
      <c r="N145" s="145" t="n">
        <f aca="false">N139</f>
        <v>21562.5</v>
      </c>
      <c r="O145" s="145" t="n">
        <f aca="false">O139</f>
        <v>21993.75</v>
      </c>
      <c r="P145" s="145" t="n">
        <f aca="false">P139</f>
        <v>34181.25</v>
      </c>
      <c r="Q145" s="145" t="n">
        <f aca="false">Q139</f>
        <v>29181.25</v>
      </c>
      <c r="R145" s="145" t="n">
        <f aca="false">SUM(F145:Q145)</f>
        <v>241293.75</v>
      </c>
    </row>
    <row r="146" customFormat="false" ht="15" hidden="false" customHeight="false" outlineLevel="0" collapsed="false">
      <c r="A146" s="3" t="s">
        <v>2529</v>
      </c>
      <c r="B146" s="145" t="n">
        <f aca="false">IF(B143+B144=0,0,B145*B143/(B143+B144))</f>
        <v>0</v>
      </c>
      <c r="C146" s="145" t="n">
        <f aca="false">IF(C143+C144=0,0,C145*C143/(C143+C144))</f>
        <v>0</v>
      </c>
      <c r="D146" s="145" t="n">
        <f aca="false">IF(D143+D144=0,0,D145*D143/(D143+D144))</f>
        <v>0</v>
      </c>
      <c r="E146" s="145" t="n">
        <f aca="false">IF(E143+E144=0,0,E145*E143/(E143+E144))</f>
        <v>0</v>
      </c>
      <c r="F146" s="145" t="n">
        <f aca="false">IF(F143+F144=0,0,F145*F143/(F143+F144))</f>
        <v>10442.7157001414</v>
      </c>
      <c r="G146" s="145" t="n">
        <f aca="false">IF(G143+G144=0,0,G145*G143/(G143+G144))</f>
        <v>9649.63069845568</v>
      </c>
      <c r="H146" s="145" t="n">
        <f aca="false">IF(H143+H144=0,0,H145*H143/(H143+H144))</f>
        <v>9741.45833333333</v>
      </c>
      <c r="I146" s="145" t="n">
        <f aca="false">IF(I143+I144=0,0,I145*I143/(I143+I144))</f>
        <v>9741.45833333333</v>
      </c>
      <c r="J146" s="145" t="n">
        <f aca="false">IF(J143+J144=0,0,J145*J143/(J143+J144))</f>
        <v>9741.57330181199</v>
      </c>
      <c r="K146" s="145" t="n">
        <f aca="false">IF(K143+K144=0,0,K145*K143/(K143+K144))</f>
        <v>9741.68625553097</v>
      </c>
      <c r="L146" s="145" t="n">
        <f aca="false">IF(L143+L144=0,0,L145*L143/(L143+L144))</f>
        <v>18953.5298346837</v>
      </c>
      <c r="M146" s="145" t="n">
        <f aca="false">IF(M143+M144=0,0,M145*M143/(M143+M144))</f>
        <v>15284.3112924115</v>
      </c>
      <c r="N146" s="145" t="n">
        <f aca="false">IF(N143+N144=0,0,N145*N143/(N143+N144))</f>
        <v>14446.2175007967</v>
      </c>
      <c r="O146" s="145" t="n">
        <f aca="false">IF(O143+O144=0,0,O145*O143/(O143+O144))</f>
        <v>15450.4191558413</v>
      </c>
      <c r="P146" s="145" t="n">
        <f aca="false">IF(P143+P144=0,0,P145*P143/(P143+P144))</f>
        <v>23149.1324947888</v>
      </c>
      <c r="Q146" s="145" t="n">
        <f aca="false">IF(Q143+Q144=0,0,Q145*Q143/(Q143+Q144))</f>
        <v>20478.8221108728</v>
      </c>
      <c r="R146" s="145" t="n">
        <f aca="false">SUM(F146:Q146)</f>
        <v>166820.955012001</v>
      </c>
    </row>
    <row r="147" customFormat="false" ht="15" hidden="false" customHeight="false" outlineLevel="0" collapsed="false">
      <c r="A147" s="138" t="s">
        <v>2530</v>
      </c>
      <c r="B147" s="145" t="n">
        <f aca="false">B143+B146</f>
        <v>0</v>
      </c>
      <c r="C147" s="145" t="n">
        <f aca="false">C143+C146</f>
        <v>0</v>
      </c>
      <c r="D147" s="145" t="n">
        <f aca="false">D143+D146</f>
        <v>0</v>
      </c>
      <c r="E147" s="145" t="n">
        <f aca="false">E143+E146</f>
        <v>0</v>
      </c>
      <c r="F147" s="145" t="n">
        <f aca="false">F143+F146</f>
        <v>102248.799160141</v>
      </c>
      <c r="G147" s="145" t="n">
        <f aca="false">G143+G146</f>
        <v>121669.354807206</v>
      </c>
      <c r="H147" s="145" t="n">
        <f aca="false">H143+H146</f>
        <v>118761.182442083</v>
      </c>
      <c r="I147" s="145" t="n">
        <f aca="false">I143+I146</f>
        <v>118761.182442083</v>
      </c>
      <c r="J147" s="145" t="n">
        <f aca="false">J143+J146</f>
        <v>119734.889962312</v>
      </c>
      <c r="K147" s="145" t="n">
        <f aca="false">K143+K146</f>
        <v>120708.595467781</v>
      </c>
      <c r="L147" s="145" t="n">
        <f aca="false">L143+L146</f>
        <v>151568.847666684</v>
      </c>
      <c r="M147" s="145" t="n">
        <f aca="false">M143+M146</f>
        <v>143772.311432911</v>
      </c>
      <c r="N147" s="145" t="n">
        <f aca="false">N143+N146</f>
        <v>160893.222907047</v>
      </c>
      <c r="O147" s="145" t="n">
        <f aca="false">O143+O146</f>
        <v>182381.656934104</v>
      </c>
      <c r="P147" s="145" t="n">
        <f aca="false">P143+P146</f>
        <v>215700.833738604</v>
      </c>
      <c r="Q147" s="145" t="n">
        <f aca="false">Q143+Q146</f>
        <v>233043.224623793</v>
      </c>
      <c r="R147" s="145" t="n">
        <f aca="false">SUM(F147:Q147)</f>
        <v>1789244.10158475</v>
      </c>
    </row>
    <row r="148" customFormat="false" ht="15" hidden="false" customHeight="false" outlineLevel="0" collapsed="false">
      <c r="A148" s="138" t="s">
        <v>2531</v>
      </c>
      <c r="B148" s="145" t="n">
        <f aca="false">B144+B145-B146</f>
        <v>0</v>
      </c>
      <c r="C148" s="145" t="n">
        <f aca="false">C144+C145-C146</f>
        <v>0</v>
      </c>
      <c r="D148" s="145" t="n">
        <f aca="false">D144+D145-D146</f>
        <v>0</v>
      </c>
      <c r="E148" s="145" t="n">
        <f aca="false">E144+E145-E146</f>
        <v>0</v>
      </c>
      <c r="F148" s="145" t="n">
        <f aca="false">F144+F145-F146</f>
        <v>38502.5657273586</v>
      </c>
      <c r="G148" s="145" t="n">
        <f aca="false">G144+G145-G146</f>
        <v>59580.7914427943</v>
      </c>
      <c r="H148" s="145" t="n">
        <f aca="false">H144+H145-H146</f>
        <v>56488.9638079167</v>
      </c>
      <c r="I148" s="145" t="n">
        <f aca="false">I144+I145-I146</f>
        <v>56488.9638079167</v>
      </c>
      <c r="J148" s="145" t="n">
        <f aca="false">J144+J145-J146</f>
        <v>56950.024258688</v>
      </c>
      <c r="K148" s="145" t="n">
        <f aca="false">K144+K145-K146</f>
        <v>57411.086724219</v>
      </c>
      <c r="L148" s="145" t="n">
        <f aca="false">L144+L145-L146</f>
        <v>60847.9185643163</v>
      </c>
      <c r="M148" s="145" t="n">
        <f aca="false">M144+M145-M146</f>
        <v>59055.9616873385</v>
      </c>
      <c r="N148" s="145" t="n">
        <f aca="false">N144+N145-N146</f>
        <v>79256.8453542033</v>
      </c>
      <c r="O148" s="145" t="n">
        <f aca="false">O144+O145-O146</f>
        <v>77239.5563633962</v>
      </c>
      <c r="P148" s="145" t="n">
        <f aca="false">P144+P145-P146</f>
        <v>102795.944699526</v>
      </c>
      <c r="Q148" s="145" t="n">
        <f aca="false">Q144+Q145-Q146</f>
        <v>99031.1770060972</v>
      </c>
      <c r="R148" s="145" t="n">
        <f aca="false">SUM(F148:Q148)</f>
        <v>803649.799443771</v>
      </c>
    </row>
    <row r="149" customFormat="false" ht="15" hidden="false" customHeight="false" outlineLevel="0" collapsed="false">
      <c r="A149" s="138" t="s">
        <v>2532</v>
      </c>
      <c r="B149" s="145" t="n">
        <f aca="false">B147+B148</f>
        <v>0</v>
      </c>
      <c r="C149" s="145" t="n">
        <f aca="false">C147+C148</f>
        <v>0</v>
      </c>
      <c r="D149" s="145" t="n">
        <f aca="false">D147+D148</f>
        <v>0</v>
      </c>
      <c r="E149" s="145" t="n">
        <f aca="false">E147+E148</f>
        <v>0</v>
      </c>
      <c r="F149" s="145" t="n">
        <f aca="false">F147+F148</f>
        <v>140751.3648875</v>
      </c>
      <c r="G149" s="145" t="n">
        <f aca="false">G147+G148</f>
        <v>181250.14625</v>
      </c>
      <c r="H149" s="145" t="n">
        <f aca="false">H147+H148</f>
        <v>175250.14625</v>
      </c>
      <c r="I149" s="145" t="n">
        <f aca="false">I147+I148</f>
        <v>175250.14625</v>
      </c>
      <c r="J149" s="145" t="n">
        <f aca="false">J147+J148</f>
        <v>176684.914221</v>
      </c>
      <c r="K149" s="145" t="n">
        <f aca="false">K147+K148</f>
        <v>178119.682192</v>
      </c>
      <c r="L149" s="145" t="n">
        <f aca="false">L147+L148</f>
        <v>212416.766231</v>
      </c>
      <c r="M149" s="145" t="n">
        <f aca="false">M147+M148</f>
        <v>202828.27312025</v>
      </c>
      <c r="N149" s="145" t="n">
        <f aca="false">N147+N148</f>
        <v>240150.06826125</v>
      </c>
      <c r="O149" s="145" t="n">
        <f aca="false">O147+O148</f>
        <v>259621.2132975</v>
      </c>
      <c r="P149" s="145" t="n">
        <f aca="false">P147+P148</f>
        <v>318496.77843813</v>
      </c>
      <c r="Q149" s="145" t="n">
        <f aca="false">Q147+Q148</f>
        <v>332074.40162989</v>
      </c>
      <c r="R149" s="145" t="n">
        <f aca="false">SUM(F149:Q149)</f>
        <v>2592893.90102852</v>
      </c>
    </row>
    <row r="150" customFormat="false" ht="15" hidden="false" customHeight="false" outlineLevel="0" collapsed="false">
      <c r="A150" s="3" t="s">
        <v>2533</v>
      </c>
      <c r="B150" s="86" t="n">
        <f aca="false">DeploySum!B24</f>
        <v>9</v>
      </c>
      <c r="C150" s="86" t="n">
        <f aca="false">DeploySum!C24</f>
        <v>0</v>
      </c>
      <c r="D150" s="86" t="n">
        <f aca="false">DeploySum!D24</f>
        <v>20</v>
      </c>
      <c r="E150" s="86" t="n">
        <f aca="false">DeploySum!E24</f>
        <v>8</v>
      </c>
      <c r="F150" s="86" t="n">
        <f aca="false">DeploySum!F24</f>
        <v>0</v>
      </c>
      <c r="G150" s="86" t="n">
        <f aca="false">DeploySum!G24</f>
        <v>22</v>
      </c>
      <c r="H150" s="86" t="n">
        <f aca="false">DeploySum!H24</f>
        <v>14</v>
      </c>
      <c r="I150" s="86" t="n">
        <f aca="false">DeploySum!I24</f>
        <v>20</v>
      </c>
      <c r="J150" s="86" t="n">
        <f aca="false">DeploySum!J24</f>
        <v>18</v>
      </c>
      <c r="K150" s="86" t="n">
        <f aca="false">DeploySum!K24</f>
        <v>22</v>
      </c>
      <c r="L150" s="86" t="n">
        <f aca="false">DeploySum!L24</f>
        <v>28</v>
      </c>
      <c r="M150" s="86" t="n">
        <f aca="false">DeploySum!M24</f>
        <v>28</v>
      </c>
      <c r="N150" s="86" t="n">
        <f aca="false">DeploySum!N24</f>
        <v>34</v>
      </c>
      <c r="O150" s="86" t="n">
        <f aca="false">DeploySum!O24</f>
        <v>36</v>
      </c>
      <c r="P150" s="86" t="n">
        <f aca="false">DeploySum!P24</f>
        <v>42</v>
      </c>
      <c r="Q150" s="86" t="n">
        <f aca="false">DeploySum!Q24</f>
        <v>48</v>
      </c>
      <c r="R150" s="86" t="n">
        <f aca="false">SUM(F150:Q150)</f>
        <v>312</v>
      </c>
    </row>
    <row r="151" customFormat="false" ht="15" hidden="false" customHeight="false" outlineLevel="0" collapsed="false">
      <c r="A151" s="3" t="s">
        <v>2534</v>
      </c>
      <c r="B151" s="86" t="n">
        <f aca="false">DeploySum!B25</f>
        <v>32</v>
      </c>
      <c r="C151" s="86" t="n">
        <f aca="false">DeploySum!C25</f>
        <v>0</v>
      </c>
      <c r="D151" s="86" t="n">
        <f aca="false">DeploySum!D25</f>
        <v>60</v>
      </c>
      <c r="E151" s="86" t="n">
        <f aca="false">DeploySum!E25</f>
        <v>24</v>
      </c>
      <c r="F151" s="86" t="n">
        <f aca="false">DeploySum!F25</f>
        <v>0</v>
      </c>
      <c r="G151" s="86" t="n">
        <f aca="false">DeploySum!G25</f>
        <v>86</v>
      </c>
      <c r="H151" s="86" t="n">
        <f aca="false">DeploySum!H25</f>
        <v>61</v>
      </c>
      <c r="I151" s="86" t="n">
        <f aca="false">DeploySum!I25</f>
        <v>98</v>
      </c>
      <c r="J151" s="86" t="n">
        <f aca="false">DeploySum!J25</f>
        <v>73</v>
      </c>
      <c r="K151" s="86" t="n">
        <f aca="false">DeploySum!K25</f>
        <v>85</v>
      </c>
      <c r="L151" s="86" t="n">
        <f aca="false">DeploySum!L25</f>
        <v>122</v>
      </c>
      <c r="M151" s="86" t="n">
        <f aca="false">DeploySum!M25</f>
        <v>122</v>
      </c>
      <c r="N151" s="86" t="n">
        <f aca="false">DeploySum!N25</f>
        <v>159</v>
      </c>
      <c r="O151" s="86" t="n">
        <f aca="false">DeploySum!O25</f>
        <v>146</v>
      </c>
      <c r="P151" s="86" t="n">
        <f aca="false">DeploySum!P25</f>
        <v>183</v>
      </c>
      <c r="Q151" s="86" t="n">
        <f aca="false">DeploySum!Q25</f>
        <v>220</v>
      </c>
      <c r="R151" s="86" t="n">
        <f aca="false">SUM(F151:Q151)</f>
        <v>1355</v>
      </c>
    </row>
    <row r="152" customFormat="false" ht="15" hidden="false" customHeight="false" outlineLevel="0" collapsed="false">
      <c r="A152" s="3" t="s">
        <v>2535</v>
      </c>
      <c r="B152" s="145" t="n">
        <f aca="false">IF(B150&gt;0,B147,0)</f>
        <v>0</v>
      </c>
      <c r="C152" s="145" t="n">
        <f aca="false">IF(C150&gt;0,C147+B153,0)</f>
        <v>0</v>
      </c>
      <c r="D152" s="145" t="n">
        <f aca="false">IF(D150&gt;0,D147+C153,0)</f>
        <v>0</v>
      </c>
      <c r="E152" s="145" t="n">
        <f aca="false">IF(E150&gt;0,E147+D153,0)</f>
        <v>0</v>
      </c>
      <c r="F152" s="145" t="n">
        <f aca="false">IF(F150&gt;0,F147+E153,0)</f>
        <v>0</v>
      </c>
      <c r="G152" s="145" t="n">
        <f aca="false">IF(G150&gt;0,G147+F153,0)</f>
        <v>223918.153967347</v>
      </c>
      <c r="H152" s="145" t="n">
        <f aca="false">IF(H150&gt;0,H147+G153,0)</f>
        <v>118761.182442083</v>
      </c>
      <c r="I152" s="145" t="n">
        <f aca="false">IF(I150&gt;0,I147+H153,0)</f>
        <v>118761.182442083</v>
      </c>
      <c r="J152" s="145" t="n">
        <f aca="false">IF(J150&gt;0,J147+I153,0)</f>
        <v>119734.889962312</v>
      </c>
      <c r="K152" s="145" t="n">
        <f aca="false">IF(K150&gt;0,K147+J153,0)</f>
        <v>120708.595467781</v>
      </c>
      <c r="L152" s="145" t="n">
        <f aca="false">IF(L150&gt;0,L147+K153,0)</f>
        <v>151568.847666684</v>
      </c>
      <c r="M152" s="145" t="n">
        <f aca="false">IF(M150&gt;0,M147+L153,0)</f>
        <v>143772.311432911</v>
      </c>
      <c r="N152" s="145" t="n">
        <f aca="false">IF(N150&gt;0,N147+M153,0)</f>
        <v>160893.222907047</v>
      </c>
      <c r="O152" s="145" t="n">
        <f aca="false">IF(O150&gt;0,O147+N153,0)</f>
        <v>182381.656934104</v>
      </c>
      <c r="P152" s="145" t="n">
        <f aca="false">IF(P150&gt;0,P147+O153,0)</f>
        <v>215700.833738604</v>
      </c>
      <c r="Q152" s="145" t="n">
        <f aca="false">IF(Q150&gt;0,Q147+P153,0)</f>
        <v>233043.224623793</v>
      </c>
      <c r="S152" s="3" t="s">
        <v>2536</v>
      </c>
    </row>
    <row r="153" customFormat="false" ht="15" hidden="false" customHeight="false" outlineLevel="0" collapsed="false">
      <c r="A153" s="3" t="s">
        <v>2537</v>
      </c>
      <c r="B153" s="145" t="n">
        <f aca="false">IF(B150&gt;0,0,$B$135*(B147))</f>
        <v>0</v>
      </c>
      <c r="C153" s="145" t="n">
        <f aca="false">IF(C150&gt;0,0,$B$135*(C147+B153))</f>
        <v>0</v>
      </c>
      <c r="D153" s="145" t="n">
        <f aca="false">IF(D150&gt;0,0,$B$135*(D147+C153))</f>
        <v>0</v>
      </c>
      <c r="E153" s="145" t="n">
        <f aca="false">IF(E150&gt;0,0,$B$135*(E147+D153))</f>
        <v>0</v>
      </c>
      <c r="F153" s="145" t="n">
        <f aca="false">IF(F150&gt;0,0,$B$135*(F147+E153))</f>
        <v>102248.799160141</v>
      </c>
      <c r="G153" s="145" t="n">
        <f aca="false">IF(G150&gt;0,0,$B$135*(G147+F153))</f>
        <v>0</v>
      </c>
      <c r="H153" s="145" t="n">
        <f aca="false">IF(H150&gt;0,0,$B$135*(H147+G153))</f>
        <v>0</v>
      </c>
      <c r="I153" s="145" t="n">
        <f aca="false">IF(I150&gt;0,0,$B$135*(I147+H153))</f>
        <v>0</v>
      </c>
      <c r="J153" s="145" t="n">
        <f aca="false">IF(J150&gt;0,0,$B$135*(J147+I153))</f>
        <v>0</v>
      </c>
      <c r="K153" s="145" t="n">
        <f aca="false">IF(K150&gt;0,0,$B$135*(K147+J153))</f>
        <v>0</v>
      </c>
      <c r="L153" s="145" t="n">
        <f aca="false">IF(L150&gt;0,0,$B$135*(L147+K153))</f>
        <v>0</v>
      </c>
      <c r="M153" s="145" t="n">
        <f aca="false">IF(M150&gt;0,0,$B$135*(M147+L153))</f>
        <v>0</v>
      </c>
      <c r="N153" s="145" t="n">
        <f aca="false">IF(N150&gt;0,0,$B$135*(N147+M153))</f>
        <v>0</v>
      </c>
      <c r="O153" s="145" t="n">
        <f aca="false">IF(O150&gt;0,0,$B$135*(O147+N153))</f>
        <v>0</v>
      </c>
      <c r="P153" s="145" t="n">
        <f aca="false">IF(P150&gt;0,0,$B$135*(P147+O153))</f>
        <v>0</v>
      </c>
      <c r="Q153" s="145" t="n">
        <f aca="false">IF(Q150&gt;0,0,$B$135*(Q147+P153))</f>
        <v>0</v>
      </c>
    </row>
    <row r="154" customFormat="false" ht="15" hidden="false" customHeight="false" outlineLevel="0" collapsed="false">
      <c r="A154" s="3" t="s">
        <v>2538</v>
      </c>
      <c r="B154" s="145" t="n">
        <f aca="false">IF(B151&gt;0,B148,0)</f>
        <v>0</v>
      </c>
      <c r="C154" s="145" t="n">
        <f aca="false">IF(C151&gt;0,C148+B155,0)</f>
        <v>0</v>
      </c>
      <c r="D154" s="145" t="n">
        <f aca="false">IF(D151&gt;0,D148+C155,0)</f>
        <v>0</v>
      </c>
      <c r="E154" s="145" t="n">
        <f aca="false">IF(E151&gt;0,E148+D155,0)</f>
        <v>0</v>
      </c>
      <c r="F154" s="145" t="n">
        <f aca="false">IF(F151&gt;0,F148+E155,0)</f>
        <v>0</v>
      </c>
      <c r="G154" s="145" t="n">
        <f aca="false">IF(G151&gt;0,G148+F155,0)</f>
        <v>98083.3571701529</v>
      </c>
      <c r="H154" s="145" t="n">
        <f aca="false">IF(H151&gt;0,H148+G155,0)</f>
        <v>56488.9638079167</v>
      </c>
      <c r="I154" s="145" t="n">
        <f aca="false">IF(I151&gt;0,I148+H155,0)</f>
        <v>56488.9638079167</v>
      </c>
      <c r="J154" s="145" t="n">
        <f aca="false">IF(J151&gt;0,J148+I155,0)</f>
        <v>56950.024258688</v>
      </c>
      <c r="K154" s="145" t="n">
        <f aca="false">IF(K151&gt;0,K148+J155,0)</f>
        <v>57411.086724219</v>
      </c>
      <c r="L154" s="145" t="n">
        <f aca="false">IF(L151&gt;0,L148+K155,0)</f>
        <v>60847.9185643163</v>
      </c>
      <c r="M154" s="145" t="n">
        <f aca="false">IF(M151&gt;0,M148+L155,0)</f>
        <v>59055.9616873385</v>
      </c>
      <c r="N154" s="145" t="n">
        <f aca="false">IF(N151&gt;0,N148+M155,0)</f>
        <v>79256.8453542033</v>
      </c>
      <c r="O154" s="145" t="n">
        <f aca="false">IF(O151&gt;0,O148+N155,0)</f>
        <v>77239.5563633962</v>
      </c>
      <c r="P154" s="145" t="n">
        <f aca="false">IF(P151&gt;0,P148+O155,0)</f>
        <v>102795.944699526</v>
      </c>
      <c r="Q154" s="145" t="n">
        <f aca="false">IF(Q151&gt;0,Q148+P155,0)</f>
        <v>99031.1770060972</v>
      </c>
    </row>
    <row r="155" customFormat="false" ht="15" hidden="false" customHeight="false" outlineLevel="0" collapsed="false">
      <c r="A155" s="3" t="s">
        <v>2539</v>
      </c>
      <c r="B155" s="145" t="n">
        <f aca="false">IF(B151&gt;0,0,$B$135*(B148))</f>
        <v>0</v>
      </c>
      <c r="C155" s="145" t="n">
        <f aca="false">IF(C151&gt;0,0,$B$135*(C148+B155))</f>
        <v>0</v>
      </c>
      <c r="D155" s="145" t="n">
        <f aca="false">IF(D151&gt;0,0,$B$135*(D148+C155))</f>
        <v>0</v>
      </c>
      <c r="E155" s="145" t="n">
        <f aca="false">IF(E151&gt;0,0,$B$135*(E148+D155))</f>
        <v>0</v>
      </c>
      <c r="F155" s="145" t="n">
        <f aca="false">IF(F151&gt;0,0,$B$135*(F148+E155))</f>
        <v>38502.5657273586</v>
      </c>
      <c r="G155" s="145" t="n">
        <f aca="false">IF(G151&gt;0,0,$B$135*(G148+F155))</f>
        <v>0</v>
      </c>
      <c r="H155" s="145" t="n">
        <f aca="false">IF(H151&gt;0,0,$B$135*(H148+G155))</f>
        <v>0</v>
      </c>
      <c r="I155" s="145" t="n">
        <f aca="false">IF(I151&gt;0,0,$B$135*(I148+H155))</f>
        <v>0</v>
      </c>
      <c r="J155" s="145" t="n">
        <f aca="false">IF(J151&gt;0,0,$B$135*(J148+I155))</f>
        <v>0</v>
      </c>
      <c r="K155" s="145" t="n">
        <f aca="false">IF(K151&gt;0,0,$B$135*(K148+J155))</f>
        <v>0</v>
      </c>
      <c r="L155" s="145" t="n">
        <f aca="false">IF(L151&gt;0,0,$B$135*(L148+K155))</f>
        <v>0</v>
      </c>
      <c r="M155" s="145" t="n">
        <f aca="false">IF(M151&gt;0,0,$B$135*(M148+L155))</f>
        <v>0</v>
      </c>
      <c r="N155" s="145" t="n">
        <f aca="false">IF(N151&gt;0,0,$B$135*(N148+M155))</f>
        <v>0</v>
      </c>
      <c r="O155" s="145" t="n">
        <f aca="false">IF(O151&gt;0,0,$B$135*(O148+N155))</f>
        <v>0</v>
      </c>
      <c r="P155" s="145" t="n">
        <f aca="false">IF(P151&gt;0,0,$B$135*(P148+O155))</f>
        <v>0</v>
      </c>
      <c r="Q155" s="145" t="n">
        <f aca="false">IF(Q151&gt;0,0,$B$135*(Q148+P155))</f>
        <v>0</v>
      </c>
    </row>
    <row r="156" customFormat="false" ht="15" hidden="false" customHeight="false" outlineLevel="0" collapsed="false">
      <c r="A156" s="138" t="s">
        <v>2540</v>
      </c>
      <c r="B156" s="145" t="n">
        <f aca="false">IF(B150&gt;0,B152/B150,0)</f>
        <v>0</v>
      </c>
      <c r="C156" s="145" t="n">
        <f aca="false">IF(C150&gt;0,C152/C150,0)</f>
        <v>0</v>
      </c>
      <c r="D156" s="145" t="n">
        <f aca="false">IF(D150&gt;0,D152/D150,0)</f>
        <v>0</v>
      </c>
      <c r="E156" s="145" t="n">
        <f aca="false">IF(E150&gt;0,E152/E150,0)</f>
        <v>0</v>
      </c>
      <c r="F156" s="145" t="n">
        <f aca="false">IF(F150&gt;0,F152/F150,0)</f>
        <v>0</v>
      </c>
      <c r="G156" s="145" t="n">
        <f aca="false">IF(G150&gt;0,G152/G150,0)</f>
        <v>10178.0979076067</v>
      </c>
      <c r="H156" s="145" t="n">
        <f aca="false">IF(H150&gt;0,H152/H150,0)</f>
        <v>8482.94160300595</v>
      </c>
      <c r="I156" s="145" t="n">
        <f aca="false">IF(I150&gt;0,I152/I150,0)</f>
        <v>5938.05912210417</v>
      </c>
      <c r="J156" s="145" t="n">
        <f aca="false">IF(J150&gt;0,J152/J150,0)</f>
        <v>6651.93833123956</v>
      </c>
      <c r="K156" s="145" t="n">
        <f aca="false">IF(K150&gt;0,K152/K150,0)</f>
        <v>5486.75433944459</v>
      </c>
      <c r="L156" s="145" t="n">
        <f aca="false">IF(L150&gt;0,L152/L150,0)</f>
        <v>5413.17313095299</v>
      </c>
      <c r="M156" s="145" t="n">
        <f aca="false">IF(M150&gt;0,M152/M150,0)</f>
        <v>5134.72540831827</v>
      </c>
      <c r="N156" s="145" t="n">
        <f aca="false">IF(N150&gt;0,N152/N150,0)</f>
        <v>4732.15361491314</v>
      </c>
      <c r="O156" s="145" t="n">
        <f aca="false">IF(O150&gt;0,O152/O150,0)</f>
        <v>5066.15713705844</v>
      </c>
      <c r="P156" s="145" t="n">
        <f aca="false">IF(P150&gt;0,P152/P150,0)</f>
        <v>5135.73413663342</v>
      </c>
      <c r="Q156" s="145" t="n">
        <f aca="false">IF(Q150&gt;0,Q152/Q150,0)</f>
        <v>4855.06717966235</v>
      </c>
    </row>
    <row r="157" customFormat="false" ht="15" hidden="false" customHeight="false" outlineLevel="0" collapsed="false">
      <c r="A157" s="138" t="s">
        <v>2541</v>
      </c>
      <c r="B157" s="145" t="n">
        <f aca="false">IF(B151&gt;0,B154/B151,0)</f>
        <v>0</v>
      </c>
      <c r="C157" s="145" t="n">
        <f aca="false">IF(C151&gt;0,C154/C151,0)</f>
        <v>0</v>
      </c>
      <c r="D157" s="145" t="n">
        <f aca="false">IF(D151&gt;0,D154/D151,0)</f>
        <v>0</v>
      </c>
      <c r="E157" s="145" t="n">
        <f aca="false">IF(E151&gt;0,E154/E151,0)</f>
        <v>0</v>
      </c>
      <c r="F157" s="145" t="n">
        <f aca="false">IF(F151&gt;0,F154/F151,0)</f>
        <v>0</v>
      </c>
      <c r="G157" s="145" t="n">
        <f aca="false">IF(G151&gt;0,G154/G151,0)</f>
        <v>1140.50415314131</v>
      </c>
      <c r="H157" s="145" t="n">
        <f aca="false">IF(H151&gt;0,H154/H151,0)</f>
        <v>926.048587015027</v>
      </c>
      <c r="I157" s="145" t="n">
        <f aca="false">IF(I151&gt;0,I154/I151,0)</f>
        <v>576.417998039966</v>
      </c>
      <c r="J157" s="145" t="n">
        <f aca="false">IF(J151&gt;0,J154/J151,0)</f>
        <v>780.137318612164</v>
      </c>
      <c r="K157" s="145" t="n">
        <f aca="false">IF(K151&gt;0,K154/K151,0)</f>
        <v>675.424549696695</v>
      </c>
      <c r="L157" s="145" t="n">
        <f aca="false">IF(L151&gt;0,L154/L151,0)</f>
        <v>498.753430855052</v>
      </c>
      <c r="M157" s="145" t="n">
        <f aca="false">IF(M151&gt;0,M154/M151,0)</f>
        <v>484.065259732283</v>
      </c>
      <c r="N157" s="145" t="n">
        <f aca="false">IF(N151&gt;0,N154/N151,0)</f>
        <v>498.470725498134</v>
      </c>
      <c r="O157" s="145" t="n">
        <f aca="false">IF(O151&gt;0,O154/O151,0)</f>
        <v>529.038057283536</v>
      </c>
      <c r="P157" s="145" t="n">
        <f aca="false">IF(P151&gt;0,P154/P151,0)</f>
        <v>561.726473767903</v>
      </c>
      <c r="Q157" s="145" t="n">
        <f aca="false">IF(Q151&gt;0,Q154/Q151,0)</f>
        <v>450.141713664078</v>
      </c>
    </row>
    <row r="158" customFormat="false" ht="15" hidden="false" customHeight="false" outlineLevel="0" collapsed="false">
      <c r="A158" s="3" t="s">
        <v>2542</v>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ustomFormat="false" ht="15" hidden="false" customHeight="false" outlineLevel="0" collapsed="false">
      <c r="A159" s="3" t="s">
        <v>2543</v>
      </c>
      <c r="B159" s="145" t="n">
        <f aca="false">IF(YEAR(B158)=2027,B152+B154,0)</f>
        <v>0</v>
      </c>
      <c r="C159" s="145" t="n">
        <f aca="false">IF(YEAR(C158)=2027,C152+C154,0)</f>
        <v>0</v>
      </c>
      <c r="D159" s="145" t="n">
        <f aca="false">IF(YEAR(D158)=2027,D152+D154,0)</f>
        <v>0</v>
      </c>
      <c r="E159" s="145" t="n">
        <f aca="false">IF(YEAR(E158)=2027,E152+E154,0)</f>
        <v>0</v>
      </c>
      <c r="F159" s="145" t="n">
        <f aca="false">IF(YEAR(F158)=2027,F152+F154,0)</f>
        <v>0</v>
      </c>
      <c r="G159" s="145" t="n">
        <f aca="false">IF(YEAR(G158)=2027,G152+G154,0)</f>
        <v>322001.5111375</v>
      </c>
      <c r="H159" s="145" t="n">
        <f aca="false">IF(YEAR(H158)=2027,H152+H154,0)</f>
        <v>175250.14625</v>
      </c>
      <c r="I159" s="145" t="n">
        <f aca="false">IF(YEAR(I158)=2027,I152+I154,0)</f>
        <v>175250.14625</v>
      </c>
      <c r="J159" s="145" t="n">
        <f aca="false">IF(YEAR(J158)=2027,J152+J154,0)</f>
        <v>176684.914221</v>
      </c>
      <c r="K159" s="145" t="n">
        <f aca="false">IF(YEAR(K158)=2027,K152+K154,0)</f>
        <v>178119.682192</v>
      </c>
      <c r="L159" s="145" t="n">
        <f aca="false">IF(YEAR(L158)=2027,L152+L154,0)</f>
        <v>212416.766231</v>
      </c>
      <c r="M159" s="145" t="n">
        <f aca="false">IF(YEAR(M158)=2027,M152+M154,0)</f>
        <v>202828.27312025</v>
      </c>
      <c r="N159" s="145" t="n">
        <f aca="false">IF(YEAR(N158)=2027,N152+N154,0)</f>
        <v>240150.06826125</v>
      </c>
      <c r="O159" s="145" t="n">
        <f aca="false">IF(YEAR(O158)=2027,O152+O154,0)</f>
        <v>259621.2132975</v>
      </c>
      <c r="P159" s="145" t="n">
        <f aca="false">IF(YEAR(P158)=2027,P152+P154,0)</f>
        <v>0</v>
      </c>
      <c r="Q159" s="145" t="n">
        <f aca="false">IF(YEAR(Q158)=2027,Q152+Q154,0)</f>
        <v>0</v>
      </c>
    </row>
    <row r="160" customFormat="false" ht="15" hidden="false" customHeight="false" outlineLevel="0" collapsed="false">
      <c r="A160" s="3" t="s">
        <v>2544</v>
      </c>
      <c r="B160" s="145" t="n">
        <f aca="false">IF(YEAR(B158)&gt;2027,B152+B154,0)</f>
        <v>0</v>
      </c>
      <c r="C160" s="145" t="n">
        <f aca="false">IF(YEAR(C158)&gt;2027,C152+C154,0)</f>
        <v>0</v>
      </c>
      <c r="D160" s="145" t="n">
        <f aca="false">IF(YEAR(D158)&gt;2027,D152+D154,0)</f>
        <v>0</v>
      </c>
      <c r="E160" s="145" t="n">
        <f aca="false">IF(YEAR(E158)&gt;2027,E152+E154,0)</f>
        <v>0</v>
      </c>
      <c r="F160" s="145" t="n">
        <f aca="false">IF(YEAR(F158)&gt;2027,F152+F154,0)</f>
        <v>0</v>
      </c>
      <c r="G160" s="145" t="n">
        <f aca="false">IF(YEAR(G158)&gt;2027,G152+G154,0)</f>
        <v>0</v>
      </c>
      <c r="H160" s="145" t="n">
        <f aca="false">IF(YEAR(H158)&gt;2027,H152+H154,0)</f>
        <v>0</v>
      </c>
      <c r="I160" s="145" t="n">
        <f aca="false">IF(YEAR(I158)&gt;2027,I152+I154,0)</f>
        <v>0</v>
      </c>
      <c r="J160" s="145" t="n">
        <f aca="false">IF(YEAR(J158)&gt;2027,J152+J154,0)</f>
        <v>0</v>
      </c>
      <c r="K160" s="145" t="n">
        <f aca="false">IF(YEAR(K158)&gt;2027,K152+K154,0)</f>
        <v>0</v>
      </c>
      <c r="L160" s="145" t="n">
        <f aca="false">IF(YEAR(L158)&gt;2027,L152+L154,0)</f>
        <v>0</v>
      </c>
      <c r="M160" s="145" t="n">
        <f aca="false">IF(YEAR(M158)&gt;2027,M152+M154,0)</f>
        <v>0</v>
      </c>
      <c r="N160" s="145" t="n">
        <f aca="false">IF(YEAR(N158)&gt;2027,N152+N154,0)</f>
        <v>0</v>
      </c>
      <c r="O160" s="145" t="n">
        <f aca="false">IF(YEAR(O158)&gt;2027,O152+O154,0)</f>
        <v>0</v>
      </c>
      <c r="P160" s="145" t="n">
        <f aca="false">IF(YEAR(P158)&gt;2027,P152+P154,0)</f>
        <v>318496.77843813</v>
      </c>
      <c r="Q160" s="145" t="n">
        <f aca="false">IF(YEAR(Q158)&gt;2027,Q152+Q154,0)</f>
        <v>332074.40162989</v>
      </c>
    </row>
    <row r="161" customFormat="false" ht="15" hidden="false" customHeight="false" outlineLevel="0" collapsed="false">
      <c r="A161" s="3" t="s">
        <v>2545</v>
      </c>
      <c r="B161" s="145" t="n">
        <f aca="false">IF(YEAR(B158)&lt;2027,B152+B154,0)</f>
        <v>0</v>
      </c>
      <c r="C161" s="145" t="n">
        <f aca="false">IF(YEAR(C158)&lt;2027,C152+C154,0)</f>
        <v>0</v>
      </c>
      <c r="D161" s="145" t="n">
        <f aca="false">IF(YEAR(D158)&lt;2027,D152+D154,0)</f>
        <v>0</v>
      </c>
      <c r="E161" s="145" t="n">
        <f aca="false">IF(YEAR(E158)&lt;2027,E152+E154,0)</f>
        <v>0</v>
      </c>
      <c r="F161" s="145" t="n">
        <f aca="false">IF(YEAR(F158)&lt;2027,F152+F154,0)</f>
        <v>0</v>
      </c>
      <c r="G161" s="145" t="n">
        <f aca="false">IF(YEAR(G158)&lt;2027,G152+G154,0)</f>
        <v>0</v>
      </c>
      <c r="H161" s="145" t="n">
        <f aca="false">IF(YEAR(H158)&lt;2027,H152+H154,0)</f>
        <v>0</v>
      </c>
      <c r="I161" s="145" t="n">
        <f aca="false">IF(YEAR(I158)&lt;2027,I152+I154,0)</f>
        <v>0</v>
      </c>
      <c r="J161" s="145" t="n">
        <f aca="false">IF(YEAR(J158)&lt;2027,J152+J154,0)</f>
        <v>0</v>
      </c>
      <c r="K161" s="145" t="n">
        <f aca="false">IF(YEAR(K158)&lt;2027,K152+K154,0)</f>
        <v>0</v>
      </c>
      <c r="L161" s="145" t="n">
        <f aca="false">IF(YEAR(L158)&lt;2027,L152+L154,0)</f>
        <v>0</v>
      </c>
      <c r="M161" s="145" t="n">
        <f aca="false">IF(YEAR(M158)&lt;2027,M152+M154,0)</f>
        <v>0</v>
      </c>
      <c r="N161" s="145" t="n">
        <f aca="false">IF(YEAR(N158)&lt;2027,N152+N154,0)</f>
        <v>0</v>
      </c>
      <c r="O161" s="145" t="n">
        <f aca="false">IF(YEAR(O158)&lt;2027,O152+O154,0)</f>
        <v>0</v>
      </c>
      <c r="P161" s="145" t="n">
        <f aca="false">IF(YEAR(P158)&lt;2027,P152+P154,0)</f>
        <v>0</v>
      </c>
      <c r="Q161" s="145" t="n">
        <f aca="false">IF(YEAR(Q158)&lt;2027,Q152+Q154,0)</f>
        <v>0</v>
      </c>
    </row>
    <row r="163" customFormat="false" ht="15" hidden="false" customHeight="false" outlineLevel="0" collapsed="false">
      <c r="A163" s="2" t="s">
        <v>2546</v>
      </c>
      <c r="B163" s="2" t="s">
        <v>704</v>
      </c>
      <c r="C163" s="2" t="s">
        <v>2414</v>
      </c>
      <c r="D163" s="2" t="s">
        <v>2547</v>
      </c>
      <c r="E163" s="2" t="s">
        <v>2416</v>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2" t="s">
        <v>2325</v>
      </c>
      <c r="S163" s="2" t="s">
        <v>2417</v>
      </c>
    </row>
    <row r="164" customFormat="false" ht="15" hidden="false" customHeight="false" outlineLevel="0" collapsed="false">
      <c r="A164" s="138" t="s">
        <v>2548</v>
      </c>
    </row>
    <row r="165" customFormat="false" ht="15" hidden="false" customHeight="false" outlineLevel="0" collapsed="false">
      <c r="A165" s="3" t="s">
        <v>2549</v>
      </c>
      <c r="B165" s="146" t="n">
        <f aca="false">$B$14</f>
        <v>5011</v>
      </c>
      <c r="C165" s="3" t="n">
        <v>1</v>
      </c>
      <c r="D165" s="145" t="n">
        <f aca="false">INDEX($B$156:$Q$156,4+$C165-$B$133)*INDEX($F$29:$Q$29,$C165)</f>
        <v>0</v>
      </c>
      <c r="E165" s="145" t="n">
        <f aca="false">D165*(1-$B$12)/$B$9</f>
        <v>0</v>
      </c>
      <c r="F165" s="145" t="n">
        <f aca="false">IF(AND(F$28&gt;=$C165+$B$13,F$28&lt;$C165+$B$13+$B$9),$E165,0)</f>
        <v>0</v>
      </c>
      <c r="G165" s="145" t="n">
        <f aca="false">IF(AND(G$28&gt;=$C165+$B$13,G$28&lt;$C165+$B$13+$B$9),$E165,0)</f>
        <v>0</v>
      </c>
      <c r="H165" s="145" t="n">
        <f aca="false">IF(AND(H$28&gt;=$C165+$B$13,H$28&lt;$C165+$B$13+$B$9),$E165,0)</f>
        <v>0</v>
      </c>
      <c r="I165" s="145" t="n">
        <f aca="false">IF(AND(I$28&gt;=$C165+$B$13,I$28&lt;$C165+$B$13+$B$9),$E165,0)</f>
        <v>0</v>
      </c>
      <c r="J165" s="145" t="n">
        <f aca="false">IF(AND(J$28&gt;=$C165+$B$13,J$28&lt;$C165+$B$13+$B$9),$E165,0)</f>
        <v>0</v>
      </c>
      <c r="K165" s="145" t="n">
        <f aca="false">IF(AND(K$28&gt;=$C165+$B$13,K$28&lt;$C165+$B$13+$B$9),$E165,0)</f>
        <v>0</v>
      </c>
      <c r="L165" s="145" t="n">
        <f aca="false">IF(AND(L$28&gt;=$C165+$B$13,L$28&lt;$C165+$B$13+$B$9),$E165,0)</f>
        <v>0</v>
      </c>
      <c r="M165" s="145" t="n">
        <f aca="false">IF(AND(M$28&gt;=$C165+$B$13,M$28&lt;$C165+$B$13+$B$9),$E165,0)</f>
        <v>0</v>
      </c>
      <c r="N165" s="145" t="n">
        <f aca="false">IF(AND(N$28&gt;=$C165+$B$13,N$28&lt;$C165+$B$13+$B$9),$E165,0)</f>
        <v>0</v>
      </c>
      <c r="O165" s="145" t="n">
        <f aca="false">IF(AND(O$28&gt;=$C165+$B$13,O$28&lt;$C165+$B$13+$B$9),$E165,0)</f>
        <v>0</v>
      </c>
      <c r="P165" s="145" t="n">
        <f aca="false">IF(AND(P$28&gt;=$C165+$B$13,P$28&lt;$C165+$B$13+$B$9),$E165,0)</f>
        <v>0</v>
      </c>
      <c r="Q165" s="145" t="n">
        <f aca="false">IF(AND(Q$28&gt;=$C165+$B$13,Q$28&lt;$C165+$B$13+$B$9),$E165,0)</f>
        <v>0</v>
      </c>
      <c r="R165" s="145" t="n">
        <f aca="false">SUM(F165:Q165)</f>
        <v>0</v>
      </c>
      <c r="S165" s="3" t="s">
        <v>2550</v>
      </c>
    </row>
    <row r="166" customFormat="false" ht="15" hidden="false" customHeight="false" outlineLevel="0" collapsed="false">
      <c r="A166" s="3" t="s">
        <v>2551</v>
      </c>
      <c r="B166" s="146" t="n">
        <f aca="false">$B$14</f>
        <v>5011</v>
      </c>
      <c r="C166" s="3" t="n">
        <v>2</v>
      </c>
      <c r="D166" s="145" t="n">
        <f aca="false">INDEX($B$156:$Q$156,4+$C166-$B$133)*INDEX($F$29:$Q$29,$C166)</f>
        <v>0</v>
      </c>
      <c r="E166" s="145" t="n">
        <f aca="false">D166*(1-$B$12)/$B$9</f>
        <v>0</v>
      </c>
      <c r="F166" s="145" t="n">
        <f aca="false">IF(AND(F$28&gt;=$C166+$B$13,F$28&lt;$C166+$B$13+$B$9),$E166,0)</f>
        <v>0</v>
      </c>
      <c r="G166" s="145" t="n">
        <f aca="false">IF(AND(G$28&gt;=$C166+$B$13,G$28&lt;$C166+$B$13+$B$9),$E166,0)</f>
        <v>0</v>
      </c>
      <c r="H166" s="145" t="n">
        <f aca="false">IF(AND(H$28&gt;=$C166+$B$13,H$28&lt;$C166+$B$13+$B$9),$E166,0)</f>
        <v>0</v>
      </c>
      <c r="I166" s="145" t="n">
        <f aca="false">IF(AND(I$28&gt;=$C166+$B$13,I$28&lt;$C166+$B$13+$B$9),$E166,0)</f>
        <v>0</v>
      </c>
      <c r="J166" s="145" t="n">
        <f aca="false">IF(AND(J$28&gt;=$C166+$B$13,J$28&lt;$C166+$B$13+$B$9),$E166,0)</f>
        <v>0</v>
      </c>
      <c r="K166" s="145" t="n">
        <f aca="false">IF(AND(K$28&gt;=$C166+$B$13,K$28&lt;$C166+$B$13+$B$9),$E166,0)</f>
        <v>0</v>
      </c>
      <c r="L166" s="145" t="n">
        <f aca="false">IF(AND(L$28&gt;=$C166+$B$13,L$28&lt;$C166+$B$13+$B$9),$E166,0)</f>
        <v>0</v>
      </c>
      <c r="M166" s="145" t="n">
        <f aca="false">IF(AND(M$28&gt;=$C166+$B$13,M$28&lt;$C166+$B$13+$B$9),$E166,0)</f>
        <v>0</v>
      </c>
      <c r="N166" s="145" t="n">
        <f aca="false">IF(AND(N$28&gt;=$C166+$B$13,N$28&lt;$C166+$B$13+$B$9),$E166,0)</f>
        <v>0</v>
      </c>
      <c r="O166" s="145" t="n">
        <f aca="false">IF(AND(O$28&gt;=$C166+$B$13,O$28&lt;$C166+$B$13+$B$9),$E166,0)</f>
        <v>0</v>
      </c>
      <c r="P166" s="145" t="n">
        <f aca="false">IF(AND(P$28&gt;=$C166+$B$13,P$28&lt;$C166+$B$13+$B$9),$E166,0)</f>
        <v>0</v>
      </c>
      <c r="Q166" s="145" t="n">
        <f aca="false">IF(AND(Q$28&gt;=$C166+$B$13,Q$28&lt;$C166+$B$13+$B$9),$E166,0)</f>
        <v>0</v>
      </c>
      <c r="R166" s="145" t="n">
        <f aca="false">SUM(F166:Q166)</f>
        <v>0</v>
      </c>
    </row>
    <row r="167" customFormat="false" ht="15" hidden="false" customHeight="false" outlineLevel="0" collapsed="false">
      <c r="A167" s="3" t="s">
        <v>2552</v>
      </c>
      <c r="B167" s="146" t="n">
        <f aca="false">$B$14</f>
        <v>5011</v>
      </c>
      <c r="C167" s="3" t="n">
        <v>3</v>
      </c>
      <c r="D167" s="145" t="n">
        <f aca="false">INDEX($B$156:$Q$156,4+$C167-$B$133)*INDEX($F$29:$Q$29,$C167)</f>
        <v>0</v>
      </c>
      <c r="E167" s="145" t="n">
        <f aca="false">D167*(1-$B$12)/$B$9</f>
        <v>0</v>
      </c>
      <c r="F167" s="145" t="n">
        <f aca="false">IF(AND(F$28&gt;=$C167+$B$13,F$28&lt;$C167+$B$13+$B$9),$E167,0)</f>
        <v>0</v>
      </c>
      <c r="G167" s="145" t="n">
        <f aca="false">IF(AND(G$28&gt;=$C167+$B$13,G$28&lt;$C167+$B$13+$B$9),$E167,0)</f>
        <v>0</v>
      </c>
      <c r="H167" s="145" t="n">
        <f aca="false">IF(AND(H$28&gt;=$C167+$B$13,H$28&lt;$C167+$B$13+$B$9),$E167,0)</f>
        <v>0</v>
      </c>
      <c r="I167" s="145" t="n">
        <f aca="false">IF(AND(I$28&gt;=$C167+$B$13,I$28&lt;$C167+$B$13+$B$9),$E167,0)</f>
        <v>0</v>
      </c>
      <c r="J167" s="145" t="n">
        <f aca="false">IF(AND(J$28&gt;=$C167+$B$13,J$28&lt;$C167+$B$13+$B$9),$E167,0)</f>
        <v>0</v>
      </c>
      <c r="K167" s="145" t="n">
        <f aca="false">IF(AND(K$28&gt;=$C167+$B$13,K$28&lt;$C167+$B$13+$B$9),$E167,0)</f>
        <v>0</v>
      </c>
      <c r="L167" s="145" t="n">
        <f aca="false">IF(AND(L$28&gt;=$C167+$B$13,L$28&lt;$C167+$B$13+$B$9),$E167,0)</f>
        <v>0</v>
      </c>
      <c r="M167" s="145" t="n">
        <f aca="false">IF(AND(M$28&gt;=$C167+$B$13,M$28&lt;$C167+$B$13+$B$9),$E167,0)</f>
        <v>0</v>
      </c>
      <c r="N167" s="145" t="n">
        <f aca="false">IF(AND(N$28&gt;=$C167+$B$13,N$28&lt;$C167+$B$13+$B$9),$E167,0)</f>
        <v>0</v>
      </c>
      <c r="O167" s="145" t="n">
        <f aca="false">IF(AND(O$28&gt;=$C167+$B$13,O$28&lt;$C167+$B$13+$B$9),$E167,0)</f>
        <v>0</v>
      </c>
      <c r="P167" s="145" t="n">
        <f aca="false">IF(AND(P$28&gt;=$C167+$B$13,P$28&lt;$C167+$B$13+$B$9),$E167,0)</f>
        <v>0</v>
      </c>
      <c r="Q167" s="145" t="n">
        <f aca="false">IF(AND(Q$28&gt;=$C167+$B$13,Q$28&lt;$C167+$B$13+$B$9),$E167,0)</f>
        <v>0</v>
      </c>
      <c r="R167" s="145" t="n">
        <f aca="false">SUM(F167:Q167)</f>
        <v>0</v>
      </c>
    </row>
    <row r="168" customFormat="false" ht="15" hidden="false" customHeight="false" outlineLevel="0" collapsed="false">
      <c r="A168" s="3" t="s">
        <v>2553</v>
      </c>
      <c r="B168" s="146" t="n">
        <f aca="false">$B$14</f>
        <v>5011</v>
      </c>
      <c r="C168" s="3" t="n">
        <v>4</v>
      </c>
      <c r="D168" s="145" t="n">
        <f aca="false">INDEX($B$156:$Q$156,4+$C168-$B$133)*INDEX($F$29:$Q$29,$C168)</f>
        <v>223918.153967347</v>
      </c>
      <c r="E168" s="145" t="n">
        <f aca="false">D168*(1-$B$12)/$B$9</f>
        <v>2665.69230913508</v>
      </c>
      <c r="F168" s="145" t="n">
        <f aca="false">IF(AND(F$28&gt;=$C168+$B$13,F$28&lt;$C168+$B$13+$B$9),$E168,0)</f>
        <v>0</v>
      </c>
      <c r="G168" s="145" t="n">
        <f aca="false">IF(AND(G$28&gt;=$C168+$B$13,G$28&lt;$C168+$B$13+$B$9),$E168,0)</f>
        <v>0</v>
      </c>
      <c r="H168" s="145" t="n">
        <f aca="false">IF(AND(H$28&gt;=$C168+$B$13,H$28&lt;$C168+$B$13+$B$9),$E168,0)</f>
        <v>0</v>
      </c>
      <c r="I168" s="145" t="n">
        <f aca="false">IF(AND(I$28&gt;=$C168+$B$13,I$28&lt;$C168+$B$13+$B$9),$E168,0)</f>
        <v>2665.69230913508</v>
      </c>
      <c r="J168" s="145" t="n">
        <f aca="false">IF(AND(J$28&gt;=$C168+$B$13,J$28&lt;$C168+$B$13+$B$9),$E168,0)</f>
        <v>2665.69230913508</v>
      </c>
      <c r="K168" s="145" t="n">
        <f aca="false">IF(AND(K$28&gt;=$C168+$B$13,K$28&lt;$C168+$B$13+$B$9),$E168,0)</f>
        <v>2665.69230913508</v>
      </c>
      <c r="L168" s="145" t="n">
        <f aca="false">IF(AND(L$28&gt;=$C168+$B$13,L$28&lt;$C168+$B$13+$B$9),$E168,0)</f>
        <v>2665.69230913508</v>
      </c>
      <c r="M168" s="145" t="n">
        <f aca="false">IF(AND(M$28&gt;=$C168+$B$13,M$28&lt;$C168+$B$13+$B$9),$E168,0)</f>
        <v>2665.69230913508</v>
      </c>
      <c r="N168" s="145" t="n">
        <f aca="false">IF(AND(N$28&gt;=$C168+$B$13,N$28&lt;$C168+$B$13+$B$9),$E168,0)</f>
        <v>2665.69230913508</v>
      </c>
      <c r="O168" s="145" t="n">
        <f aca="false">IF(AND(O$28&gt;=$C168+$B$13,O$28&lt;$C168+$B$13+$B$9),$E168,0)</f>
        <v>2665.69230913508</v>
      </c>
      <c r="P168" s="145" t="n">
        <f aca="false">IF(AND(P$28&gt;=$C168+$B$13,P$28&lt;$C168+$B$13+$B$9),$E168,0)</f>
        <v>2665.69230913508</v>
      </c>
      <c r="Q168" s="145" t="n">
        <f aca="false">IF(AND(Q$28&gt;=$C168+$B$13,Q$28&lt;$C168+$B$13+$B$9),$E168,0)</f>
        <v>2665.69230913508</v>
      </c>
      <c r="R168" s="145" t="n">
        <f aca="false">SUM(F168:Q168)</f>
        <v>23991.2307822158</v>
      </c>
    </row>
    <row r="169" customFormat="false" ht="15" hidden="false" customHeight="false" outlineLevel="0" collapsed="false">
      <c r="A169" s="3" t="s">
        <v>2554</v>
      </c>
      <c r="B169" s="146" t="n">
        <f aca="false">$B$14</f>
        <v>5011</v>
      </c>
      <c r="C169" s="3" t="n">
        <v>5</v>
      </c>
      <c r="D169" s="145" t="n">
        <f aca="false">INDEX($B$156:$Q$156,4+$C169-$B$133)*INDEX($F$29:$Q$29,$C169)</f>
        <v>118761.182442083</v>
      </c>
      <c r="E169" s="145" t="n">
        <f aca="false">D169*(1-$B$12)/$B$9</f>
        <v>1413.82360050099</v>
      </c>
      <c r="F169" s="145" t="n">
        <f aca="false">IF(AND(F$28&gt;=$C169+$B$13,F$28&lt;$C169+$B$13+$B$9),$E169,0)</f>
        <v>0</v>
      </c>
      <c r="G169" s="145" t="n">
        <f aca="false">IF(AND(G$28&gt;=$C169+$B$13,G$28&lt;$C169+$B$13+$B$9),$E169,0)</f>
        <v>0</v>
      </c>
      <c r="H169" s="145" t="n">
        <f aca="false">IF(AND(H$28&gt;=$C169+$B$13,H$28&lt;$C169+$B$13+$B$9),$E169,0)</f>
        <v>0</v>
      </c>
      <c r="I169" s="145" t="n">
        <f aca="false">IF(AND(I$28&gt;=$C169+$B$13,I$28&lt;$C169+$B$13+$B$9),$E169,0)</f>
        <v>0</v>
      </c>
      <c r="J169" s="145" t="n">
        <f aca="false">IF(AND(J$28&gt;=$C169+$B$13,J$28&lt;$C169+$B$13+$B$9),$E169,0)</f>
        <v>1413.82360050099</v>
      </c>
      <c r="K169" s="145" t="n">
        <f aca="false">IF(AND(K$28&gt;=$C169+$B$13,K$28&lt;$C169+$B$13+$B$9),$E169,0)</f>
        <v>1413.82360050099</v>
      </c>
      <c r="L169" s="145" t="n">
        <f aca="false">IF(AND(L$28&gt;=$C169+$B$13,L$28&lt;$C169+$B$13+$B$9),$E169,0)</f>
        <v>1413.82360050099</v>
      </c>
      <c r="M169" s="145" t="n">
        <f aca="false">IF(AND(M$28&gt;=$C169+$B$13,M$28&lt;$C169+$B$13+$B$9),$E169,0)</f>
        <v>1413.82360050099</v>
      </c>
      <c r="N169" s="145" t="n">
        <f aca="false">IF(AND(N$28&gt;=$C169+$B$13,N$28&lt;$C169+$B$13+$B$9),$E169,0)</f>
        <v>1413.82360050099</v>
      </c>
      <c r="O169" s="145" t="n">
        <f aca="false">IF(AND(O$28&gt;=$C169+$B$13,O$28&lt;$C169+$B$13+$B$9),$E169,0)</f>
        <v>1413.82360050099</v>
      </c>
      <c r="P169" s="145" t="n">
        <f aca="false">IF(AND(P$28&gt;=$C169+$B$13,P$28&lt;$C169+$B$13+$B$9),$E169,0)</f>
        <v>1413.82360050099</v>
      </c>
      <c r="Q169" s="145" t="n">
        <f aca="false">IF(AND(Q$28&gt;=$C169+$B$13,Q$28&lt;$C169+$B$13+$B$9),$E169,0)</f>
        <v>1413.82360050099</v>
      </c>
      <c r="R169" s="145" t="n">
        <f aca="false">SUM(F169:Q169)</f>
        <v>11310.5888040079</v>
      </c>
    </row>
    <row r="170" customFormat="false" ht="15" hidden="false" customHeight="false" outlineLevel="0" collapsed="false">
      <c r="A170" s="3" t="s">
        <v>2555</v>
      </c>
      <c r="B170" s="146" t="n">
        <f aca="false">$B$14</f>
        <v>5011</v>
      </c>
      <c r="C170" s="3" t="n">
        <v>6</v>
      </c>
      <c r="D170" s="145" t="n">
        <f aca="false">INDEX($B$156:$Q$156,4+$C170-$B$133)*INDEX($F$29:$Q$29,$C170)</f>
        <v>118761.182442083</v>
      </c>
      <c r="E170" s="145" t="n">
        <f aca="false">D170*(1-$B$12)/$B$9</f>
        <v>1413.82360050099</v>
      </c>
      <c r="F170" s="145" t="n">
        <f aca="false">IF(AND(F$28&gt;=$C170+$B$13,F$28&lt;$C170+$B$13+$B$9),$E170,0)</f>
        <v>0</v>
      </c>
      <c r="G170" s="145" t="n">
        <f aca="false">IF(AND(G$28&gt;=$C170+$B$13,G$28&lt;$C170+$B$13+$B$9),$E170,0)</f>
        <v>0</v>
      </c>
      <c r="H170" s="145" t="n">
        <f aca="false">IF(AND(H$28&gt;=$C170+$B$13,H$28&lt;$C170+$B$13+$B$9),$E170,0)</f>
        <v>0</v>
      </c>
      <c r="I170" s="145" t="n">
        <f aca="false">IF(AND(I$28&gt;=$C170+$B$13,I$28&lt;$C170+$B$13+$B$9),$E170,0)</f>
        <v>0</v>
      </c>
      <c r="J170" s="145" t="n">
        <f aca="false">IF(AND(J$28&gt;=$C170+$B$13,J$28&lt;$C170+$B$13+$B$9),$E170,0)</f>
        <v>0</v>
      </c>
      <c r="K170" s="145" t="n">
        <f aca="false">IF(AND(K$28&gt;=$C170+$B$13,K$28&lt;$C170+$B$13+$B$9),$E170,0)</f>
        <v>1413.82360050099</v>
      </c>
      <c r="L170" s="145" t="n">
        <f aca="false">IF(AND(L$28&gt;=$C170+$B$13,L$28&lt;$C170+$B$13+$B$9),$E170,0)</f>
        <v>1413.82360050099</v>
      </c>
      <c r="M170" s="145" t="n">
        <f aca="false">IF(AND(M$28&gt;=$C170+$B$13,M$28&lt;$C170+$B$13+$B$9),$E170,0)</f>
        <v>1413.82360050099</v>
      </c>
      <c r="N170" s="145" t="n">
        <f aca="false">IF(AND(N$28&gt;=$C170+$B$13,N$28&lt;$C170+$B$13+$B$9),$E170,0)</f>
        <v>1413.82360050099</v>
      </c>
      <c r="O170" s="145" t="n">
        <f aca="false">IF(AND(O$28&gt;=$C170+$B$13,O$28&lt;$C170+$B$13+$B$9),$E170,0)</f>
        <v>1413.82360050099</v>
      </c>
      <c r="P170" s="145" t="n">
        <f aca="false">IF(AND(P$28&gt;=$C170+$B$13,P$28&lt;$C170+$B$13+$B$9),$E170,0)</f>
        <v>1413.82360050099</v>
      </c>
      <c r="Q170" s="145" t="n">
        <f aca="false">IF(AND(Q$28&gt;=$C170+$B$13,Q$28&lt;$C170+$B$13+$B$9),$E170,0)</f>
        <v>1413.82360050099</v>
      </c>
      <c r="R170" s="145" t="n">
        <f aca="false">SUM(F170:Q170)</f>
        <v>9896.76520350694</v>
      </c>
    </row>
    <row r="171" customFormat="false" ht="15" hidden="false" customHeight="false" outlineLevel="0" collapsed="false">
      <c r="A171" s="3" t="s">
        <v>2556</v>
      </c>
      <c r="B171" s="146" t="n">
        <f aca="false">$B$14</f>
        <v>5011</v>
      </c>
      <c r="C171" s="3" t="n">
        <v>7</v>
      </c>
      <c r="D171" s="145" t="n">
        <f aca="false">INDEX($B$156:$Q$156,4+$C171-$B$133)*INDEX($F$29:$Q$29,$C171)</f>
        <v>119734.889962312</v>
      </c>
      <c r="E171" s="145" t="n">
        <f aca="false">D171*(1-$B$12)/$B$9</f>
        <v>1425.41535669419</v>
      </c>
      <c r="F171" s="145" t="n">
        <f aca="false">IF(AND(F$28&gt;=$C171+$B$13,F$28&lt;$C171+$B$13+$B$9),$E171,0)</f>
        <v>0</v>
      </c>
      <c r="G171" s="145" t="n">
        <f aca="false">IF(AND(G$28&gt;=$C171+$B$13,G$28&lt;$C171+$B$13+$B$9),$E171,0)</f>
        <v>0</v>
      </c>
      <c r="H171" s="145" t="n">
        <f aca="false">IF(AND(H$28&gt;=$C171+$B$13,H$28&lt;$C171+$B$13+$B$9),$E171,0)</f>
        <v>0</v>
      </c>
      <c r="I171" s="145" t="n">
        <f aca="false">IF(AND(I$28&gt;=$C171+$B$13,I$28&lt;$C171+$B$13+$B$9),$E171,0)</f>
        <v>0</v>
      </c>
      <c r="J171" s="145" t="n">
        <f aca="false">IF(AND(J$28&gt;=$C171+$B$13,J$28&lt;$C171+$B$13+$B$9),$E171,0)</f>
        <v>0</v>
      </c>
      <c r="K171" s="145" t="n">
        <f aca="false">IF(AND(K$28&gt;=$C171+$B$13,K$28&lt;$C171+$B$13+$B$9),$E171,0)</f>
        <v>0</v>
      </c>
      <c r="L171" s="145" t="n">
        <f aca="false">IF(AND(L$28&gt;=$C171+$B$13,L$28&lt;$C171+$B$13+$B$9),$E171,0)</f>
        <v>1425.41535669419</v>
      </c>
      <c r="M171" s="145" t="n">
        <f aca="false">IF(AND(M$28&gt;=$C171+$B$13,M$28&lt;$C171+$B$13+$B$9),$E171,0)</f>
        <v>1425.41535669419</v>
      </c>
      <c r="N171" s="145" t="n">
        <f aca="false">IF(AND(N$28&gt;=$C171+$B$13,N$28&lt;$C171+$B$13+$B$9),$E171,0)</f>
        <v>1425.41535669419</v>
      </c>
      <c r="O171" s="145" t="n">
        <f aca="false">IF(AND(O$28&gt;=$C171+$B$13,O$28&lt;$C171+$B$13+$B$9),$E171,0)</f>
        <v>1425.41535669419</v>
      </c>
      <c r="P171" s="145" t="n">
        <f aca="false">IF(AND(P$28&gt;=$C171+$B$13,P$28&lt;$C171+$B$13+$B$9),$E171,0)</f>
        <v>1425.41535669419</v>
      </c>
      <c r="Q171" s="145" t="n">
        <f aca="false">IF(AND(Q$28&gt;=$C171+$B$13,Q$28&lt;$C171+$B$13+$B$9),$E171,0)</f>
        <v>1425.41535669419</v>
      </c>
      <c r="R171" s="145" t="n">
        <f aca="false">SUM(F171:Q171)</f>
        <v>8552.49214016514</v>
      </c>
    </row>
    <row r="172" customFormat="false" ht="15" hidden="false" customHeight="false" outlineLevel="0" collapsed="false">
      <c r="A172" s="3" t="s">
        <v>2557</v>
      </c>
      <c r="B172" s="146" t="n">
        <f aca="false">$B$14</f>
        <v>5011</v>
      </c>
      <c r="C172" s="3" t="n">
        <v>8</v>
      </c>
      <c r="D172" s="145" t="n">
        <f aca="false">INDEX($B$156:$Q$156,4+$C172-$B$133)*INDEX($F$29:$Q$29,$C172)</f>
        <v>120708.595467781</v>
      </c>
      <c r="E172" s="145" t="n">
        <f aca="false">D172*(1-$B$12)/$B$9</f>
        <v>1437.00708890215</v>
      </c>
      <c r="F172" s="145" t="n">
        <f aca="false">IF(AND(F$28&gt;=$C172+$B$13,F$28&lt;$C172+$B$13+$B$9),$E172,0)</f>
        <v>0</v>
      </c>
      <c r="G172" s="145" t="n">
        <f aca="false">IF(AND(G$28&gt;=$C172+$B$13,G$28&lt;$C172+$B$13+$B$9),$E172,0)</f>
        <v>0</v>
      </c>
      <c r="H172" s="145" t="n">
        <f aca="false">IF(AND(H$28&gt;=$C172+$B$13,H$28&lt;$C172+$B$13+$B$9),$E172,0)</f>
        <v>0</v>
      </c>
      <c r="I172" s="145" t="n">
        <f aca="false">IF(AND(I$28&gt;=$C172+$B$13,I$28&lt;$C172+$B$13+$B$9),$E172,0)</f>
        <v>0</v>
      </c>
      <c r="J172" s="145" t="n">
        <f aca="false">IF(AND(J$28&gt;=$C172+$B$13,J$28&lt;$C172+$B$13+$B$9),$E172,0)</f>
        <v>0</v>
      </c>
      <c r="K172" s="145" t="n">
        <f aca="false">IF(AND(K$28&gt;=$C172+$B$13,K$28&lt;$C172+$B$13+$B$9),$E172,0)</f>
        <v>0</v>
      </c>
      <c r="L172" s="145" t="n">
        <f aca="false">IF(AND(L$28&gt;=$C172+$B$13,L$28&lt;$C172+$B$13+$B$9),$E172,0)</f>
        <v>0</v>
      </c>
      <c r="M172" s="145" t="n">
        <f aca="false">IF(AND(M$28&gt;=$C172+$B$13,M$28&lt;$C172+$B$13+$B$9),$E172,0)</f>
        <v>1437.00708890215</v>
      </c>
      <c r="N172" s="145" t="n">
        <f aca="false">IF(AND(N$28&gt;=$C172+$B$13,N$28&lt;$C172+$B$13+$B$9),$E172,0)</f>
        <v>1437.00708890215</v>
      </c>
      <c r="O172" s="145" t="n">
        <f aca="false">IF(AND(O$28&gt;=$C172+$B$13,O$28&lt;$C172+$B$13+$B$9),$E172,0)</f>
        <v>1437.00708890215</v>
      </c>
      <c r="P172" s="145" t="n">
        <f aca="false">IF(AND(P$28&gt;=$C172+$B$13,P$28&lt;$C172+$B$13+$B$9),$E172,0)</f>
        <v>1437.00708890215</v>
      </c>
      <c r="Q172" s="145" t="n">
        <f aca="false">IF(AND(Q$28&gt;=$C172+$B$13,Q$28&lt;$C172+$B$13+$B$9),$E172,0)</f>
        <v>1437.00708890215</v>
      </c>
      <c r="R172" s="145" t="n">
        <f aca="false">SUM(F172:Q172)</f>
        <v>7185.03544451077</v>
      </c>
    </row>
    <row r="173" customFormat="false" ht="15" hidden="false" customHeight="false" outlineLevel="0" collapsed="false">
      <c r="A173" s="3" t="s">
        <v>2558</v>
      </c>
      <c r="B173" s="146" t="n">
        <f aca="false">$B$14</f>
        <v>5011</v>
      </c>
      <c r="C173" s="3" t="n">
        <v>9</v>
      </c>
      <c r="D173" s="145" t="n">
        <f aca="false">INDEX($B$156:$Q$156,4+$C173-$B$133)*INDEX($F$29:$Q$29,$C173)</f>
        <v>151568.847666684</v>
      </c>
      <c r="E173" s="145" t="n">
        <f aca="false">D173*(1-$B$12)/$B$9</f>
        <v>1804.391043651</v>
      </c>
      <c r="F173" s="145" t="n">
        <f aca="false">IF(AND(F$28&gt;=$C173+$B$13,F$28&lt;$C173+$B$13+$B$9),$E173,0)</f>
        <v>0</v>
      </c>
      <c r="G173" s="145" t="n">
        <f aca="false">IF(AND(G$28&gt;=$C173+$B$13,G$28&lt;$C173+$B$13+$B$9),$E173,0)</f>
        <v>0</v>
      </c>
      <c r="H173" s="145" t="n">
        <f aca="false">IF(AND(H$28&gt;=$C173+$B$13,H$28&lt;$C173+$B$13+$B$9),$E173,0)</f>
        <v>0</v>
      </c>
      <c r="I173" s="145" t="n">
        <f aca="false">IF(AND(I$28&gt;=$C173+$B$13,I$28&lt;$C173+$B$13+$B$9),$E173,0)</f>
        <v>0</v>
      </c>
      <c r="J173" s="145" t="n">
        <f aca="false">IF(AND(J$28&gt;=$C173+$B$13,J$28&lt;$C173+$B$13+$B$9),$E173,0)</f>
        <v>0</v>
      </c>
      <c r="K173" s="145" t="n">
        <f aca="false">IF(AND(K$28&gt;=$C173+$B$13,K$28&lt;$C173+$B$13+$B$9),$E173,0)</f>
        <v>0</v>
      </c>
      <c r="L173" s="145" t="n">
        <f aca="false">IF(AND(L$28&gt;=$C173+$B$13,L$28&lt;$C173+$B$13+$B$9),$E173,0)</f>
        <v>0</v>
      </c>
      <c r="M173" s="145" t="n">
        <f aca="false">IF(AND(M$28&gt;=$C173+$B$13,M$28&lt;$C173+$B$13+$B$9),$E173,0)</f>
        <v>0</v>
      </c>
      <c r="N173" s="145" t="n">
        <f aca="false">IF(AND(N$28&gt;=$C173+$B$13,N$28&lt;$C173+$B$13+$B$9),$E173,0)</f>
        <v>1804.391043651</v>
      </c>
      <c r="O173" s="145" t="n">
        <f aca="false">IF(AND(O$28&gt;=$C173+$B$13,O$28&lt;$C173+$B$13+$B$9),$E173,0)</f>
        <v>1804.391043651</v>
      </c>
      <c r="P173" s="145" t="n">
        <f aca="false">IF(AND(P$28&gt;=$C173+$B$13,P$28&lt;$C173+$B$13+$B$9),$E173,0)</f>
        <v>1804.391043651</v>
      </c>
      <c r="Q173" s="145" t="n">
        <f aca="false">IF(AND(Q$28&gt;=$C173+$B$13,Q$28&lt;$C173+$B$13+$B$9),$E173,0)</f>
        <v>1804.391043651</v>
      </c>
      <c r="R173" s="145" t="n">
        <f aca="false">SUM(F173:Q173)</f>
        <v>7217.56417460398</v>
      </c>
    </row>
    <row r="174" customFormat="false" ht="15" hidden="false" customHeight="false" outlineLevel="0" collapsed="false">
      <c r="A174" s="3" t="s">
        <v>2559</v>
      </c>
      <c r="B174" s="146" t="n">
        <f aca="false">$B$14</f>
        <v>5011</v>
      </c>
      <c r="C174" s="3" t="n">
        <v>10</v>
      </c>
      <c r="D174" s="145" t="n">
        <f aca="false">INDEX($B$156:$Q$156,4+$C174-$B$133)*INDEX($F$29:$Q$29,$C174)</f>
        <v>143772.311432911</v>
      </c>
      <c r="E174" s="145" t="n">
        <f aca="false">D174*(1-$B$12)/$B$9</f>
        <v>1711.57513610609</v>
      </c>
      <c r="F174" s="145" t="n">
        <f aca="false">IF(AND(F$28&gt;=$C174+$B$13,F$28&lt;$C174+$B$13+$B$9),$E174,0)</f>
        <v>0</v>
      </c>
      <c r="G174" s="145" t="n">
        <f aca="false">IF(AND(G$28&gt;=$C174+$B$13,G$28&lt;$C174+$B$13+$B$9),$E174,0)</f>
        <v>0</v>
      </c>
      <c r="H174" s="145" t="n">
        <f aca="false">IF(AND(H$28&gt;=$C174+$B$13,H$28&lt;$C174+$B$13+$B$9),$E174,0)</f>
        <v>0</v>
      </c>
      <c r="I174" s="145" t="n">
        <f aca="false">IF(AND(I$28&gt;=$C174+$B$13,I$28&lt;$C174+$B$13+$B$9),$E174,0)</f>
        <v>0</v>
      </c>
      <c r="J174" s="145" t="n">
        <f aca="false">IF(AND(J$28&gt;=$C174+$B$13,J$28&lt;$C174+$B$13+$B$9),$E174,0)</f>
        <v>0</v>
      </c>
      <c r="K174" s="145" t="n">
        <f aca="false">IF(AND(K$28&gt;=$C174+$B$13,K$28&lt;$C174+$B$13+$B$9),$E174,0)</f>
        <v>0</v>
      </c>
      <c r="L174" s="145" t="n">
        <f aca="false">IF(AND(L$28&gt;=$C174+$B$13,L$28&lt;$C174+$B$13+$B$9),$E174,0)</f>
        <v>0</v>
      </c>
      <c r="M174" s="145" t="n">
        <f aca="false">IF(AND(M$28&gt;=$C174+$B$13,M$28&lt;$C174+$B$13+$B$9),$E174,0)</f>
        <v>0</v>
      </c>
      <c r="N174" s="145" t="n">
        <f aca="false">IF(AND(N$28&gt;=$C174+$B$13,N$28&lt;$C174+$B$13+$B$9),$E174,0)</f>
        <v>0</v>
      </c>
      <c r="O174" s="145" t="n">
        <f aca="false">IF(AND(O$28&gt;=$C174+$B$13,O$28&lt;$C174+$B$13+$B$9),$E174,0)</f>
        <v>1711.57513610609</v>
      </c>
      <c r="P174" s="145" t="n">
        <f aca="false">IF(AND(P$28&gt;=$C174+$B$13,P$28&lt;$C174+$B$13+$B$9),$E174,0)</f>
        <v>1711.57513610609</v>
      </c>
      <c r="Q174" s="145" t="n">
        <f aca="false">IF(AND(Q$28&gt;=$C174+$B$13,Q$28&lt;$C174+$B$13+$B$9),$E174,0)</f>
        <v>1711.57513610609</v>
      </c>
      <c r="R174" s="145" t="n">
        <f aca="false">SUM(F174:Q174)</f>
        <v>5134.72540831827</v>
      </c>
    </row>
    <row r="175" customFormat="false" ht="15" hidden="false" customHeight="false" outlineLevel="0" collapsed="false">
      <c r="A175" s="3" t="s">
        <v>2560</v>
      </c>
      <c r="B175" s="146" t="n">
        <f aca="false">$B$14</f>
        <v>5011</v>
      </c>
      <c r="C175" s="3" t="n">
        <v>11</v>
      </c>
      <c r="D175" s="145" t="n">
        <f aca="false">INDEX($B$156:$Q$156,4+$C175-$B$133)*INDEX($F$29:$Q$29,$C175)</f>
        <v>160893.222907047</v>
      </c>
      <c r="E175" s="145" t="n">
        <f aca="false">D175*(1-$B$12)/$B$9</f>
        <v>1915.39551079817</v>
      </c>
      <c r="F175" s="145" t="n">
        <f aca="false">IF(AND(F$28&gt;=$C175+$B$13,F$28&lt;$C175+$B$13+$B$9),$E175,0)</f>
        <v>0</v>
      </c>
      <c r="G175" s="145" t="n">
        <f aca="false">IF(AND(G$28&gt;=$C175+$B$13,G$28&lt;$C175+$B$13+$B$9),$E175,0)</f>
        <v>0</v>
      </c>
      <c r="H175" s="145" t="n">
        <f aca="false">IF(AND(H$28&gt;=$C175+$B$13,H$28&lt;$C175+$B$13+$B$9),$E175,0)</f>
        <v>0</v>
      </c>
      <c r="I175" s="145" t="n">
        <f aca="false">IF(AND(I$28&gt;=$C175+$B$13,I$28&lt;$C175+$B$13+$B$9),$E175,0)</f>
        <v>0</v>
      </c>
      <c r="J175" s="145" t="n">
        <f aca="false">IF(AND(J$28&gt;=$C175+$B$13,J$28&lt;$C175+$B$13+$B$9),$E175,0)</f>
        <v>0</v>
      </c>
      <c r="K175" s="145" t="n">
        <f aca="false">IF(AND(K$28&gt;=$C175+$B$13,K$28&lt;$C175+$B$13+$B$9),$E175,0)</f>
        <v>0</v>
      </c>
      <c r="L175" s="145" t="n">
        <f aca="false">IF(AND(L$28&gt;=$C175+$B$13,L$28&lt;$C175+$B$13+$B$9),$E175,0)</f>
        <v>0</v>
      </c>
      <c r="M175" s="145" t="n">
        <f aca="false">IF(AND(M$28&gt;=$C175+$B$13,M$28&lt;$C175+$B$13+$B$9),$E175,0)</f>
        <v>0</v>
      </c>
      <c r="N175" s="145" t="n">
        <f aca="false">IF(AND(N$28&gt;=$C175+$B$13,N$28&lt;$C175+$B$13+$B$9),$E175,0)</f>
        <v>0</v>
      </c>
      <c r="O175" s="145" t="n">
        <f aca="false">IF(AND(O$28&gt;=$C175+$B$13,O$28&lt;$C175+$B$13+$B$9),$E175,0)</f>
        <v>0</v>
      </c>
      <c r="P175" s="145" t="n">
        <f aca="false">IF(AND(P$28&gt;=$C175+$B$13,P$28&lt;$C175+$B$13+$B$9),$E175,0)</f>
        <v>1915.39551079817</v>
      </c>
      <c r="Q175" s="145" t="n">
        <f aca="false">IF(AND(Q$28&gt;=$C175+$B$13,Q$28&lt;$C175+$B$13+$B$9),$E175,0)</f>
        <v>1915.39551079817</v>
      </c>
      <c r="R175" s="145" t="n">
        <f aca="false">SUM(F175:Q175)</f>
        <v>3830.79102159635</v>
      </c>
    </row>
    <row r="176" customFormat="false" ht="15" hidden="false" customHeight="false" outlineLevel="0" collapsed="false">
      <c r="A176" s="3" t="s">
        <v>2561</v>
      </c>
      <c r="B176" s="146" t="n">
        <f aca="false">$B$14</f>
        <v>5011</v>
      </c>
      <c r="C176" s="3" t="n">
        <v>12</v>
      </c>
      <c r="D176" s="145" t="n">
        <f aca="false">INDEX($B$156:$Q$156,4+$C176-$B$133)*INDEX($F$29:$Q$29,$C176)</f>
        <v>182381.656934104</v>
      </c>
      <c r="E176" s="145" t="n">
        <f aca="false">D176*(1-$B$12)/$B$9</f>
        <v>2171.21020159647</v>
      </c>
      <c r="F176" s="145" t="n">
        <f aca="false">IF(AND(F$28&gt;=$C176+$B$13,F$28&lt;$C176+$B$13+$B$9),$E176,0)</f>
        <v>0</v>
      </c>
      <c r="G176" s="145" t="n">
        <f aca="false">IF(AND(G$28&gt;=$C176+$B$13,G$28&lt;$C176+$B$13+$B$9),$E176,0)</f>
        <v>0</v>
      </c>
      <c r="H176" s="145" t="n">
        <f aca="false">IF(AND(H$28&gt;=$C176+$B$13,H$28&lt;$C176+$B$13+$B$9),$E176,0)</f>
        <v>0</v>
      </c>
      <c r="I176" s="145" t="n">
        <f aca="false">IF(AND(I$28&gt;=$C176+$B$13,I$28&lt;$C176+$B$13+$B$9),$E176,0)</f>
        <v>0</v>
      </c>
      <c r="J176" s="145" t="n">
        <f aca="false">IF(AND(J$28&gt;=$C176+$B$13,J$28&lt;$C176+$B$13+$B$9),$E176,0)</f>
        <v>0</v>
      </c>
      <c r="K176" s="145" t="n">
        <f aca="false">IF(AND(K$28&gt;=$C176+$B$13,K$28&lt;$C176+$B$13+$B$9),$E176,0)</f>
        <v>0</v>
      </c>
      <c r="L176" s="145" t="n">
        <f aca="false">IF(AND(L$28&gt;=$C176+$B$13,L$28&lt;$C176+$B$13+$B$9),$E176,0)</f>
        <v>0</v>
      </c>
      <c r="M176" s="145" t="n">
        <f aca="false">IF(AND(M$28&gt;=$C176+$B$13,M$28&lt;$C176+$B$13+$B$9),$E176,0)</f>
        <v>0</v>
      </c>
      <c r="N176" s="145" t="n">
        <f aca="false">IF(AND(N$28&gt;=$C176+$B$13,N$28&lt;$C176+$B$13+$B$9),$E176,0)</f>
        <v>0</v>
      </c>
      <c r="O176" s="145" t="n">
        <f aca="false">IF(AND(O$28&gt;=$C176+$B$13,O$28&lt;$C176+$B$13+$B$9),$E176,0)</f>
        <v>0</v>
      </c>
      <c r="P176" s="145" t="n">
        <f aca="false">IF(AND(P$28&gt;=$C176+$B$13,P$28&lt;$C176+$B$13+$B$9),$E176,0)</f>
        <v>0</v>
      </c>
      <c r="Q176" s="145" t="n">
        <f aca="false">IF(AND(Q$28&gt;=$C176+$B$13,Q$28&lt;$C176+$B$13+$B$9),$E176,0)</f>
        <v>2171.21020159647</v>
      </c>
      <c r="R176" s="145" t="n">
        <f aca="false">SUM(F176:Q176)</f>
        <v>2171.21020159647</v>
      </c>
    </row>
    <row r="177" customFormat="false" ht="15" hidden="false" customHeight="false" outlineLevel="0" collapsed="false">
      <c r="A177" s="138" t="s">
        <v>2562</v>
      </c>
    </row>
    <row r="178" customFormat="false" ht="15" hidden="false" customHeight="false" outlineLevel="0" collapsed="false">
      <c r="A178" s="3" t="s">
        <v>2563</v>
      </c>
      <c r="B178" s="146" t="n">
        <f aca="false">$B$15</f>
        <v>5012</v>
      </c>
      <c r="C178" s="3" t="n">
        <v>1</v>
      </c>
      <c r="D178" s="145" t="n">
        <f aca="false">INDEX($B$157:$Q$157,4+$C178-$B$133)*INDEX($F$30:$Q$30,$C178)</f>
        <v>0</v>
      </c>
      <c r="E178" s="145" t="n">
        <f aca="false">D178*(1-$B$12)/$B$10</f>
        <v>0</v>
      </c>
      <c r="F178" s="145" t="n">
        <f aca="false">IF(AND(F$28&gt;=$C178+$B$13,F$28&lt;$C178+$B$13+$B$10),$E178,0)</f>
        <v>0</v>
      </c>
      <c r="G178" s="145" t="n">
        <f aca="false">IF(AND(G$28&gt;=$C178+$B$13,G$28&lt;$C178+$B$13+$B$10),$E178,0)</f>
        <v>0</v>
      </c>
      <c r="H178" s="145" t="n">
        <f aca="false">IF(AND(H$28&gt;=$C178+$B$13,H$28&lt;$C178+$B$13+$B$10),$E178,0)</f>
        <v>0</v>
      </c>
      <c r="I178" s="145" t="n">
        <f aca="false">IF(AND(I$28&gt;=$C178+$B$13,I$28&lt;$C178+$B$13+$B$10),$E178,0)</f>
        <v>0</v>
      </c>
      <c r="J178" s="145" t="n">
        <f aca="false">IF(AND(J$28&gt;=$C178+$B$13,J$28&lt;$C178+$B$13+$B$10),$E178,0)</f>
        <v>0</v>
      </c>
      <c r="K178" s="145" t="n">
        <f aca="false">IF(AND(K$28&gt;=$C178+$B$13,K$28&lt;$C178+$B$13+$B$10),$E178,0)</f>
        <v>0</v>
      </c>
      <c r="L178" s="145" t="n">
        <f aca="false">IF(AND(L$28&gt;=$C178+$B$13,L$28&lt;$C178+$B$13+$B$10),$E178,0)</f>
        <v>0</v>
      </c>
      <c r="M178" s="145" t="n">
        <f aca="false">IF(AND(M$28&gt;=$C178+$B$13,M$28&lt;$C178+$B$13+$B$10),$E178,0)</f>
        <v>0</v>
      </c>
      <c r="N178" s="145" t="n">
        <f aca="false">IF(AND(N$28&gt;=$C178+$B$13,N$28&lt;$C178+$B$13+$B$10),$E178,0)</f>
        <v>0</v>
      </c>
      <c r="O178" s="145" t="n">
        <f aca="false">IF(AND(O$28&gt;=$C178+$B$13,O$28&lt;$C178+$B$13+$B$10),$E178,0)</f>
        <v>0</v>
      </c>
      <c r="P178" s="145" t="n">
        <f aca="false">IF(AND(P$28&gt;=$C178+$B$13,P$28&lt;$C178+$B$13+$B$10),$E178,0)</f>
        <v>0</v>
      </c>
      <c r="Q178" s="145" t="n">
        <f aca="false">IF(AND(Q$28&gt;=$C178+$B$13,Q$28&lt;$C178+$B$13+$B$10),$E178,0)</f>
        <v>0</v>
      </c>
      <c r="R178" s="145" t="n">
        <f aca="false">SUM(F178:Q178)</f>
        <v>0</v>
      </c>
      <c r="S178" s="3" t="s">
        <v>2564</v>
      </c>
    </row>
    <row r="179" customFormat="false" ht="15" hidden="false" customHeight="false" outlineLevel="0" collapsed="false">
      <c r="A179" s="3" t="s">
        <v>2565</v>
      </c>
      <c r="B179" s="146" t="n">
        <f aca="false">$B$15</f>
        <v>5012</v>
      </c>
      <c r="C179" s="3" t="n">
        <v>2</v>
      </c>
      <c r="D179" s="145" t="n">
        <f aca="false">INDEX($B$157:$Q$157,4+$C179-$B$133)*INDEX($F$30:$Q$30,$C179)</f>
        <v>0</v>
      </c>
      <c r="E179" s="145" t="n">
        <f aca="false">D179*(1-$B$12)/$B$10</f>
        <v>0</v>
      </c>
      <c r="F179" s="145" t="n">
        <f aca="false">IF(AND(F$28&gt;=$C179+$B$13,F$28&lt;$C179+$B$13+$B$10),$E179,0)</f>
        <v>0</v>
      </c>
      <c r="G179" s="145" t="n">
        <f aca="false">IF(AND(G$28&gt;=$C179+$B$13,G$28&lt;$C179+$B$13+$B$10),$E179,0)</f>
        <v>0</v>
      </c>
      <c r="H179" s="145" t="n">
        <f aca="false">IF(AND(H$28&gt;=$C179+$B$13,H$28&lt;$C179+$B$13+$B$10),$E179,0)</f>
        <v>0</v>
      </c>
      <c r="I179" s="145" t="n">
        <f aca="false">IF(AND(I$28&gt;=$C179+$B$13,I$28&lt;$C179+$B$13+$B$10),$E179,0)</f>
        <v>0</v>
      </c>
      <c r="J179" s="145" t="n">
        <f aca="false">IF(AND(J$28&gt;=$C179+$B$13,J$28&lt;$C179+$B$13+$B$10),$E179,0)</f>
        <v>0</v>
      </c>
      <c r="K179" s="145" t="n">
        <f aca="false">IF(AND(K$28&gt;=$C179+$B$13,K$28&lt;$C179+$B$13+$B$10),$E179,0)</f>
        <v>0</v>
      </c>
      <c r="L179" s="145" t="n">
        <f aca="false">IF(AND(L$28&gt;=$C179+$B$13,L$28&lt;$C179+$B$13+$B$10),$E179,0)</f>
        <v>0</v>
      </c>
      <c r="M179" s="145" t="n">
        <f aca="false">IF(AND(M$28&gt;=$C179+$B$13,M$28&lt;$C179+$B$13+$B$10),$E179,0)</f>
        <v>0</v>
      </c>
      <c r="N179" s="145" t="n">
        <f aca="false">IF(AND(N$28&gt;=$C179+$B$13,N$28&lt;$C179+$B$13+$B$10),$E179,0)</f>
        <v>0</v>
      </c>
      <c r="O179" s="145" t="n">
        <f aca="false">IF(AND(O$28&gt;=$C179+$B$13,O$28&lt;$C179+$B$13+$B$10),$E179,0)</f>
        <v>0</v>
      </c>
      <c r="P179" s="145" t="n">
        <f aca="false">IF(AND(P$28&gt;=$C179+$B$13,P$28&lt;$C179+$B$13+$B$10),$E179,0)</f>
        <v>0</v>
      </c>
      <c r="Q179" s="145" t="n">
        <f aca="false">IF(AND(Q$28&gt;=$C179+$B$13,Q$28&lt;$C179+$B$13+$B$10),$E179,0)</f>
        <v>0</v>
      </c>
      <c r="R179" s="145" t="n">
        <f aca="false">SUM(F179:Q179)</f>
        <v>0</v>
      </c>
    </row>
    <row r="180" customFormat="false" ht="15" hidden="false" customHeight="false" outlineLevel="0" collapsed="false">
      <c r="A180" s="3" t="s">
        <v>2566</v>
      </c>
      <c r="B180" s="146" t="n">
        <f aca="false">$B$15</f>
        <v>5012</v>
      </c>
      <c r="C180" s="3" t="n">
        <v>3</v>
      </c>
      <c r="D180" s="145" t="n">
        <f aca="false">INDEX($B$157:$Q$157,4+$C180-$B$133)*INDEX($F$30:$Q$30,$C180)</f>
        <v>0</v>
      </c>
      <c r="E180" s="145" t="n">
        <f aca="false">D180*(1-$B$12)/$B$10</f>
        <v>0</v>
      </c>
      <c r="F180" s="145" t="n">
        <f aca="false">IF(AND(F$28&gt;=$C180+$B$13,F$28&lt;$C180+$B$13+$B$10),$E180,0)</f>
        <v>0</v>
      </c>
      <c r="G180" s="145" t="n">
        <f aca="false">IF(AND(G$28&gt;=$C180+$B$13,G$28&lt;$C180+$B$13+$B$10),$E180,0)</f>
        <v>0</v>
      </c>
      <c r="H180" s="145" t="n">
        <f aca="false">IF(AND(H$28&gt;=$C180+$B$13,H$28&lt;$C180+$B$13+$B$10),$E180,0)</f>
        <v>0</v>
      </c>
      <c r="I180" s="145" t="n">
        <f aca="false">IF(AND(I$28&gt;=$C180+$B$13,I$28&lt;$C180+$B$13+$B$10),$E180,0)</f>
        <v>0</v>
      </c>
      <c r="J180" s="145" t="n">
        <f aca="false">IF(AND(J$28&gt;=$C180+$B$13,J$28&lt;$C180+$B$13+$B$10),$E180,0)</f>
        <v>0</v>
      </c>
      <c r="K180" s="145" t="n">
        <f aca="false">IF(AND(K$28&gt;=$C180+$B$13,K$28&lt;$C180+$B$13+$B$10),$E180,0)</f>
        <v>0</v>
      </c>
      <c r="L180" s="145" t="n">
        <f aca="false">IF(AND(L$28&gt;=$C180+$B$13,L$28&lt;$C180+$B$13+$B$10),$E180,0)</f>
        <v>0</v>
      </c>
      <c r="M180" s="145" t="n">
        <f aca="false">IF(AND(M$28&gt;=$C180+$B$13,M$28&lt;$C180+$B$13+$B$10),$E180,0)</f>
        <v>0</v>
      </c>
      <c r="N180" s="145" t="n">
        <f aca="false">IF(AND(N$28&gt;=$C180+$B$13,N$28&lt;$C180+$B$13+$B$10),$E180,0)</f>
        <v>0</v>
      </c>
      <c r="O180" s="145" t="n">
        <f aca="false">IF(AND(O$28&gt;=$C180+$B$13,O$28&lt;$C180+$B$13+$B$10),$E180,0)</f>
        <v>0</v>
      </c>
      <c r="P180" s="145" t="n">
        <f aca="false">IF(AND(P$28&gt;=$C180+$B$13,P$28&lt;$C180+$B$13+$B$10),$E180,0)</f>
        <v>0</v>
      </c>
      <c r="Q180" s="145" t="n">
        <f aca="false">IF(AND(Q$28&gt;=$C180+$B$13,Q$28&lt;$C180+$B$13+$B$10),$E180,0)</f>
        <v>0</v>
      </c>
      <c r="R180" s="145" t="n">
        <f aca="false">SUM(F180:Q180)</f>
        <v>0</v>
      </c>
    </row>
    <row r="181" customFormat="false" ht="15" hidden="false" customHeight="false" outlineLevel="0" collapsed="false">
      <c r="A181" s="3" t="s">
        <v>2567</v>
      </c>
      <c r="B181" s="146" t="n">
        <f aca="false">$B$15</f>
        <v>5012</v>
      </c>
      <c r="C181" s="3" t="n">
        <v>4</v>
      </c>
      <c r="D181" s="145" t="n">
        <f aca="false">INDEX($B$157:$Q$157,4+$C181-$B$133)*INDEX($F$30:$Q$30,$C181)</f>
        <v>98083.3571701529</v>
      </c>
      <c r="E181" s="145" t="n">
        <f aca="false">D181*(1-$B$12)/$B$10</f>
        <v>817.361309751274</v>
      </c>
      <c r="F181" s="145" t="n">
        <f aca="false">IF(AND(F$28&gt;=$C181+$B$13,F$28&lt;$C181+$B$13+$B$10),$E181,0)</f>
        <v>0</v>
      </c>
      <c r="G181" s="145" t="n">
        <f aca="false">IF(AND(G$28&gt;=$C181+$B$13,G$28&lt;$C181+$B$13+$B$10),$E181,0)</f>
        <v>0</v>
      </c>
      <c r="H181" s="145" t="n">
        <f aca="false">IF(AND(H$28&gt;=$C181+$B$13,H$28&lt;$C181+$B$13+$B$10),$E181,0)</f>
        <v>0</v>
      </c>
      <c r="I181" s="145" t="n">
        <f aca="false">IF(AND(I$28&gt;=$C181+$B$13,I$28&lt;$C181+$B$13+$B$10),$E181,0)</f>
        <v>817.361309751274</v>
      </c>
      <c r="J181" s="145" t="n">
        <f aca="false">IF(AND(J$28&gt;=$C181+$B$13,J$28&lt;$C181+$B$13+$B$10),$E181,0)</f>
        <v>817.361309751274</v>
      </c>
      <c r="K181" s="145" t="n">
        <f aca="false">IF(AND(K$28&gt;=$C181+$B$13,K$28&lt;$C181+$B$13+$B$10),$E181,0)</f>
        <v>817.361309751274</v>
      </c>
      <c r="L181" s="145" t="n">
        <f aca="false">IF(AND(L$28&gt;=$C181+$B$13,L$28&lt;$C181+$B$13+$B$10),$E181,0)</f>
        <v>817.361309751274</v>
      </c>
      <c r="M181" s="145" t="n">
        <f aca="false">IF(AND(M$28&gt;=$C181+$B$13,M$28&lt;$C181+$B$13+$B$10),$E181,0)</f>
        <v>817.361309751274</v>
      </c>
      <c r="N181" s="145" t="n">
        <f aca="false">IF(AND(N$28&gt;=$C181+$B$13,N$28&lt;$C181+$B$13+$B$10),$E181,0)</f>
        <v>817.361309751274</v>
      </c>
      <c r="O181" s="145" t="n">
        <f aca="false">IF(AND(O$28&gt;=$C181+$B$13,O$28&lt;$C181+$B$13+$B$10),$E181,0)</f>
        <v>817.361309751274</v>
      </c>
      <c r="P181" s="145" t="n">
        <f aca="false">IF(AND(P$28&gt;=$C181+$B$13,P$28&lt;$C181+$B$13+$B$10),$E181,0)</f>
        <v>817.361309751274</v>
      </c>
      <c r="Q181" s="145" t="n">
        <f aca="false">IF(AND(Q$28&gt;=$C181+$B$13,Q$28&lt;$C181+$B$13+$B$10),$E181,0)</f>
        <v>817.361309751274</v>
      </c>
      <c r="R181" s="145" t="n">
        <f aca="false">SUM(F181:Q181)</f>
        <v>7356.25178776147</v>
      </c>
    </row>
    <row r="182" customFormat="false" ht="15" hidden="false" customHeight="false" outlineLevel="0" collapsed="false">
      <c r="A182" s="3" t="s">
        <v>2568</v>
      </c>
      <c r="B182" s="146" t="n">
        <f aca="false">$B$15</f>
        <v>5012</v>
      </c>
      <c r="C182" s="3" t="n">
        <v>5</v>
      </c>
      <c r="D182" s="145" t="n">
        <f aca="false">INDEX($B$157:$Q$157,4+$C182-$B$133)*INDEX($F$30:$Q$30,$C182)</f>
        <v>56488.9638079167</v>
      </c>
      <c r="E182" s="145" t="n">
        <f aca="false">D182*(1-$B$12)/$B$10</f>
        <v>470.741365065972</v>
      </c>
      <c r="F182" s="145" t="n">
        <f aca="false">IF(AND(F$28&gt;=$C182+$B$13,F$28&lt;$C182+$B$13+$B$10),$E182,0)</f>
        <v>0</v>
      </c>
      <c r="G182" s="145" t="n">
        <f aca="false">IF(AND(G$28&gt;=$C182+$B$13,G$28&lt;$C182+$B$13+$B$10),$E182,0)</f>
        <v>0</v>
      </c>
      <c r="H182" s="145" t="n">
        <f aca="false">IF(AND(H$28&gt;=$C182+$B$13,H$28&lt;$C182+$B$13+$B$10),$E182,0)</f>
        <v>0</v>
      </c>
      <c r="I182" s="145" t="n">
        <f aca="false">IF(AND(I$28&gt;=$C182+$B$13,I$28&lt;$C182+$B$13+$B$10),$E182,0)</f>
        <v>0</v>
      </c>
      <c r="J182" s="145" t="n">
        <f aca="false">IF(AND(J$28&gt;=$C182+$B$13,J$28&lt;$C182+$B$13+$B$10),$E182,0)</f>
        <v>470.741365065972</v>
      </c>
      <c r="K182" s="145" t="n">
        <f aca="false">IF(AND(K$28&gt;=$C182+$B$13,K$28&lt;$C182+$B$13+$B$10),$E182,0)</f>
        <v>470.741365065972</v>
      </c>
      <c r="L182" s="145" t="n">
        <f aca="false">IF(AND(L$28&gt;=$C182+$B$13,L$28&lt;$C182+$B$13+$B$10),$E182,0)</f>
        <v>470.741365065972</v>
      </c>
      <c r="M182" s="145" t="n">
        <f aca="false">IF(AND(M$28&gt;=$C182+$B$13,M$28&lt;$C182+$B$13+$B$10),$E182,0)</f>
        <v>470.741365065972</v>
      </c>
      <c r="N182" s="145" t="n">
        <f aca="false">IF(AND(N$28&gt;=$C182+$B$13,N$28&lt;$C182+$B$13+$B$10),$E182,0)</f>
        <v>470.741365065972</v>
      </c>
      <c r="O182" s="145" t="n">
        <f aca="false">IF(AND(O$28&gt;=$C182+$B$13,O$28&lt;$C182+$B$13+$B$10),$E182,0)</f>
        <v>470.741365065972</v>
      </c>
      <c r="P182" s="145" t="n">
        <f aca="false">IF(AND(P$28&gt;=$C182+$B$13,P$28&lt;$C182+$B$13+$B$10),$E182,0)</f>
        <v>470.741365065972</v>
      </c>
      <c r="Q182" s="145" t="n">
        <f aca="false">IF(AND(Q$28&gt;=$C182+$B$13,Q$28&lt;$C182+$B$13+$B$10),$E182,0)</f>
        <v>470.741365065972</v>
      </c>
      <c r="R182" s="145" t="n">
        <f aca="false">SUM(F182:Q182)</f>
        <v>3765.93092052778</v>
      </c>
    </row>
    <row r="183" customFormat="false" ht="15" hidden="false" customHeight="false" outlineLevel="0" collapsed="false">
      <c r="A183" s="3" t="s">
        <v>2569</v>
      </c>
      <c r="B183" s="146" t="n">
        <f aca="false">$B$15</f>
        <v>5012</v>
      </c>
      <c r="C183" s="3" t="n">
        <v>6</v>
      </c>
      <c r="D183" s="145" t="n">
        <f aca="false">INDEX($B$157:$Q$157,4+$C183-$B$133)*INDEX($F$30:$Q$30,$C183)</f>
        <v>56488.9638079167</v>
      </c>
      <c r="E183" s="145" t="n">
        <f aca="false">D183*(1-$B$12)/$B$10</f>
        <v>470.741365065972</v>
      </c>
      <c r="F183" s="145" t="n">
        <f aca="false">IF(AND(F$28&gt;=$C183+$B$13,F$28&lt;$C183+$B$13+$B$10),$E183,0)</f>
        <v>0</v>
      </c>
      <c r="G183" s="145" t="n">
        <f aca="false">IF(AND(G$28&gt;=$C183+$B$13,G$28&lt;$C183+$B$13+$B$10),$E183,0)</f>
        <v>0</v>
      </c>
      <c r="H183" s="145" t="n">
        <f aca="false">IF(AND(H$28&gt;=$C183+$B$13,H$28&lt;$C183+$B$13+$B$10),$E183,0)</f>
        <v>0</v>
      </c>
      <c r="I183" s="145" t="n">
        <f aca="false">IF(AND(I$28&gt;=$C183+$B$13,I$28&lt;$C183+$B$13+$B$10),$E183,0)</f>
        <v>0</v>
      </c>
      <c r="J183" s="145" t="n">
        <f aca="false">IF(AND(J$28&gt;=$C183+$B$13,J$28&lt;$C183+$B$13+$B$10),$E183,0)</f>
        <v>0</v>
      </c>
      <c r="K183" s="145" t="n">
        <f aca="false">IF(AND(K$28&gt;=$C183+$B$13,K$28&lt;$C183+$B$13+$B$10),$E183,0)</f>
        <v>470.741365065972</v>
      </c>
      <c r="L183" s="145" t="n">
        <f aca="false">IF(AND(L$28&gt;=$C183+$B$13,L$28&lt;$C183+$B$13+$B$10),$E183,0)</f>
        <v>470.741365065972</v>
      </c>
      <c r="M183" s="145" t="n">
        <f aca="false">IF(AND(M$28&gt;=$C183+$B$13,M$28&lt;$C183+$B$13+$B$10),$E183,0)</f>
        <v>470.741365065972</v>
      </c>
      <c r="N183" s="145" t="n">
        <f aca="false">IF(AND(N$28&gt;=$C183+$B$13,N$28&lt;$C183+$B$13+$B$10),$E183,0)</f>
        <v>470.741365065972</v>
      </c>
      <c r="O183" s="145" t="n">
        <f aca="false">IF(AND(O$28&gt;=$C183+$B$13,O$28&lt;$C183+$B$13+$B$10),$E183,0)</f>
        <v>470.741365065972</v>
      </c>
      <c r="P183" s="145" t="n">
        <f aca="false">IF(AND(P$28&gt;=$C183+$B$13,P$28&lt;$C183+$B$13+$B$10),$E183,0)</f>
        <v>470.741365065972</v>
      </c>
      <c r="Q183" s="145" t="n">
        <f aca="false">IF(AND(Q$28&gt;=$C183+$B$13,Q$28&lt;$C183+$B$13+$B$10),$E183,0)</f>
        <v>470.741365065972</v>
      </c>
      <c r="R183" s="145" t="n">
        <f aca="false">SUM(F183:Q183)</f>
        <v>3295.1895554618</v>
      </c>
    </row>
    <row r="184" customFormat="false" ht="15" hidden="false" customHeight="false" outlineLevel="0" collapsed="false">
      <c r="A184" s="3" t="s">
        <v>2570</v>
      </c>
      <c r="B184" s="146" t="n">
        <f aca="false">$B$15</f>
        <v>5012</v>
      </c>
      <c r="C184" s="3" t="n">
        <v>7</v>
      </c>
      <c r="D184" s="145" t="n">
        <f aca="false">INDEX($B$157:$Q$157,4+$C184-$B$133)*INDEX($F$30:$Q$30,$C184)</f>
        <v>56950.024258688</v>
      </c>
      <c r="E184" s="145" t="n">
        <f aca="false">D184*(1-$B$12)/$B$10</f>
        <v>474.583535489067</v>
      </c>
      <c r="F184" s="145" t="n">
        <f aca="false">IF(AND(F$28&gt;=$C184+$B$13,F$28&lt;$C184+$B$13+$B$10),$E184,0)</f>
        <v>0</v>
      </c>
      <c r="G184" s="145" t="n">
        <f aca="false">IF(AND(G$28&gt;=$C184+$B$13,G$28&lt;$C184+$B$13+$B$10),$E184,0)</f>
        <v>0</v>
      </c>
      <c r="H184" s="145" t="n">
        <f aca="false">IF(AND(H$28&gt;=$C184+$B$13,H$28&lt;$C184+$B$13+$B$10),$E184,0)</f>
        <v>0</v>
      </c>
      <c r="I184" s="145" t="n">
        <f aca="false">IF(AND(I$28&gt;=$C184+$B$13,I$28&lt;$C184+$B$13+$B$10),$E184,0)</f>
        <v>0</v>
      </c>
      <c r="J184" s="145" t="n">
        <f aca="false">IF(AND(J$28&gt;=$C184+$B$13,J$28&lt;$C184+$B$13+$B$10),$E184,0)</f>
        <v>0</v>
      </c>
      <c r="K184" s="145" t="n">
        <f aca="false">IF(AND(K$28&gt;=$C184+$B$13,K$28&lt;$C184+$B$13+$B$10),$E184,0)</f>
        <v>0</v>
      </c>
      <c r="L184" s="145" t="n">
        <f aca="false">IF(AND(L$28&gt;=$C184+$B$13,L$28&lt;$C184+$B$13+$B$10),$E184,0)</f>
        <v>474.583535489067</v>
      </c>
      <c r="M184" s="145" t="n">
        <f aca="false">IF(AND(M$28&gt;=$C184+$B$13,M$28&lt;$C184+$B$13+$B$10),$E184,0)</f>
        <v>474.583535489067</v>
      </c>
      <c r="N184" s="145" t="n">
        <f aca="false">IF(AND(N$28&gt;=$C184+$B$13,N$28&lt;$C184+$B$13+$B$10),$E184,0)</f>
        <v>474.583535489067</v>
      </c>
      <c r="O184" s="145" t="n">
        <f aca="false">IF(AND(O$28&gt;=$C184+$B$13,O$28&lt;$C184+$B$13+$B$10),$E184,0)</f>
        <v>474.583535489067</v>
      </c>
      <c r="P184" s="145" t="n">
        <f aca="false">IF(AND(P$28&gt;=$C184+$B$13,P$28&lt;$C184+$B$13+$B$10),$E184,0)</f>
        <v>474.583535489067</v>
      </c>
      <c r="Q184" s="145" t="n">
        <f aca="false">IF(AND(Q$28&gt;=$C184+$B$13,Q$28&lt;$C184+$B$13+$B$10),$E184,0)</f>
        <v>474.583535489067</v>
      </c>
      <c r="R184" s="145" t="n">
        <f aca="false">SUM(F184:Q184)</f>
        <v>2847.5012129344</v>
      </c>
    </row>
    <row r="185" customFormat="false" ht="15" hidden="false" customHeight="false" outlineLevel="0" collapsed="false">
      <c r="A185" s="3" t="s">
        <v>2571</v>
      </c>
      <c r="B185" s="146" t="n">
        <f aca="false">$B$15</f>
        <v>5012</v>
      </c>
      <c r="C185" s="3" t="n">
        <v>8</v>
      </c>
      <c r="D185" s="145" t="n">
        <f aca="false">INDEX($B$157:$Q$157,4+$C185-$B$133)*INDEX($F$30:$Q$30,$C185)</f>
        <v>57411.086724219</v>
      </c>
      <c r="E185" s="145" t="n">
        <f aca="false">D185*(1-$B$12)/$B$10</f>
        <v>478.425722701825</v>
      </c>
      <c r="F185" s="145" t="n">
        <f aca="false">IF(AND(F$28&gt;=$C185+$B$13,F$28&lt;$C185+$B$13+$B$10),$E185,0)</f>
        <v>0</v>
      </c>
      <c r="G185" s="145" t="n">
        <f aca="false">IF(AND(G$28&gt;=$C185+$B$13,G$28&lt;$C185+$B$13+$B$10),$E185,0)</f>
        <v>0</v>
      </c>
      <c r="H185" s="145" t="n">
        <f aca="false">IF(AND(H$28&gt;=$C185+$B$13,H$28&lt;$C185+$B$13+$B$10),$E185,0)</f>
        <v>0</v>
      </c>
      <c r="I185" s="145" t="n">
        <f aca="false">IF(AND(I$28&gt;=$C185+$B$13,I$28&lt;$C185+$B$13+$B$10),$E185,0)</f>
        <v>0</v>
      </c>
      <c r="J185" s="145" t="n">
        <f aca="false">IF(AND(J$28&gt;=$C185+$B$13,J$28&lt;$C185+$B$13+$B$10),$E185,0)</f>
        <v>0</v>
      </c>
      <c r="K185" s="145" t="n">
        <f aca="false">IF(AND(K$28&gt;=$C185+$B$13,K$28&lt;$C185+$B$13+$B$10),$E185,0)</f>
        <v>0</v>
      </c>
      <c r="L185" s="145" t="n">
        <f aca="false">IF(AND(L$28&gt;=$C185+$B$13,L$28&lt;$C185+$B$13+$B$10),$E185,0)</f>
        <v>0</v>
      </c>
      <c r="M185" s="145" t="n">
        <f aca="false">IF(AND(M$28&gt;=$C185+$B$13,M$28&lt;$C185+$B$13+$B$10),$E185,0)</f>
        <v>478.425722701825</v>
      </c>
      <c r="N185" s="145" t="n">
        <f aca="false">IF(AND(N$28&gt;=$C185+$B$13,N$28&lt;$C185+$B$13+$B$10),$E185,0)</f>
        <v>478.425722701825</v>
      </c>
      <c r="O185" s="145" t="n">
        <f aca="false">IF(AND(O$28&gt;=$C185+$B$13,O$28&lt;$C185+$B$13+$B$10),$E185,0)</f>
        <v>478.425722701825</v>
      </c>
      <c r="P185" s="145" t="n">
        <f aca="false">IF(AND(P$28&gt;=$C185+$B$13,P$28&lt;$C185+$B$13+$B$10),$E185,0)</f>
        <v>478.425722701825</v>
      </c>
      <c r="Q185" s="145" t="n">
        <f aca="false">IF(AND(Q$28&gt;=$C185+$B$13,Q$28&lt;$C185+$B$13+$B$10),$E185,0)</f>
        <v>478.425722701825</v>
      </c>
      <c r="R185" s="145" t="n">
        <f aca="false">SUM(F185:Q185)</f>
        <v>2392.12861350913</v>
      </c>
    </row>
    <row r="186" customFormat="false" ht="15" hidden="false" customHeight="false" outlineLevel="0" collapsed="false">
      <c r="A186" s="3" t="s">
        <v>2572</v>
      </c>
      <c r="B186" s="146" t="n">
        <f aca="false">$B$15</f>
        <v>5012</v>
      </c>
      <c r="C186" s="3" t="n">
        <v>9</v>
      </c>
      <c r="D186" s="145" t="n">
        <f aca="false">INDEX($B$157:$Q$157,4+$C186-$B$133)*INDEX($F$30:$Q$30,$C186)</f>
        <v>60847.9185643163</v>
      </c>
      <c r="E186" s="145" t="n">
        <f aca="false">D186*(1-$B$12)/$B$10</f>
        <v>507.065988035969</v>
      </c>
      <c r="F186" s="145" t="n">
        <f aca="false">IF(AND(F$28&gt;=$C186+$B$13,F$28&lt;$C186+$B$13+$B$10),$E186,0)</f>
        <v>0</v>
      </c>
      <c r="G186" s="145" t="n">
        <f aca="false">IF(AND(G$28&gt;=$C186+$B$13,G$28&lt;$C186+$B$13+$B$10),$E186,0)</f>
        <v>0</v>
      </c>
      <c r="H186" s="145" t="n">
        <f aca="false">IF(AND(H$28&gt;=$C186+$B$13,H$28&lt;$C186+$B$13+$B$10),$E186,0)</f>
        <v>0</v>
      </c>
      <c r="I186" s="145" t="n">
        <f aca="false">IF(AND(I$28&gt;=$C186+$B$13,I$28&lt;$C186+$B$13+$B$10),$E186,0)</f>
        <v>0</v>
      </c>
      <c r="J186" s="145" t="n">
        <f aca="false">IF(AND(J$28&gt;=$C186+$B$13,J$28&lt;$C186+$B$13+$B$10),$E186,0)</f>
        <v>0</v>
      </c>
      <c r="K186" s="145" t="n">
        <f aca="false">IF(AND(K$28&gt;=$C186+$B$13,K$28&lt;$C186+$B$13+$B$10),$E186,0)</f>
        <v>0</v>
      </c>
      <c r="L186" s="145" t="n">
        <f aca="false">IF(AND(L$28&gt;=$C186+$B$13,L$28&lt;$C186+$B$13+$B$10),$E186,0)</f>
        <v>0</v>
      </c>
      <c r="M186" s="145" t="n">
        <f aca="false">IF(AND(M$28&gt;=$C186+$B$13,M$28&lt;$C186+$B$13+$B$10),$E186,0)</f>
        <v>0</v>
      </c>
      <c r="N186" s="145" t="n">
        <f aca="false">IF(AND(N$28&gt;=$C186+$B$13,N$28&lt;$C186+$B$13+$B$10),$E186,0)</f>
        <v>507.065988035969</v>
      </c>
      <c r="O186" s="145" t="n">
        <f aca="false">IF(AND(O$28&gt;=$C186+$B$13,O$28&lt;$C186+$B$13+$B$10),$E186,0)</f>
        <v>507.065988035969</v>
      </c>
      <c r="P186" s="145" t="n">
        <f aca="false">IF(AND(P$28&gt;=$C186+$B$13,P$28&lt;$C186+$B$13+$B$10),$E186,0)</f>
        <v>507.065988035969</v>
      </c>
      <c r="Q186" s="145" t="n">
        <f aca="false">IF(AND(Q$28&gt;=$C186+$B$13,Q$28&lt;$C186+$B$13+$B$10),$E186,0)</f>
        <v>507.065988035969</v>
      </c>
      <c r="R186" s="145" t="n">
        <f aca="false">SUM(F186:Q186)</f>
        <v>2028.26395214388</v>
      </c>
    </row>
    <row r="187" customFormat="false" ht="15" hidden="false" customHeight="false" outlineLevel="0" collapsed="false">
      <c r="A187" s="3" t="s">
        <v>2573</v>
      </c>
      <c r="B187" s="146" t="n">
        <f aca="false">$B$15</f>
        <v>5012</v>
      </c>
      <c r="C187" s="3" t="n">
        <v>10</v>
      </c>
      <c r="D187" s="145" t="n">
        <f aca="false">INDEX($B$157:$Q$157,4+$C187-$B$133)*INDEX($F$30:$Q$30,$C187)</f>
        <v>59055.9616873385</v>
      </c>
      <c r="E187" s="145" t="n">
        <f aca="false">D187*(1-$B$12)/$B$10</f>
        <v>492.133014061155</v>
      </c>
      <c r="F187" s="145" t="n">
        <f aca="false">IF(AND(F$28&gt;=$C187+$B$13,F$28&lt;$C187+$B$13+$B$10),$E187,0)</f>
        <v>0</v>
      </c>
      <c r="G187" s="145" t="n">
        <f aca="false">IF(AND(G$28&gt;=$C187+$B$13,G$28&lt;$C187+$B$13+$B$10),$E187,0)</f>
        <v>0</v>
      </c>
      <c r="H187" s="145" t="n">
        <f aca="false">IF(AND(H$28&gt;=$C187+$B$13,H$28&lt;$C187+$B$13+$B$10),$E187,0)</f>
        <v>0</v>
      </c>
      <c r="I187" s="145" t="n">
        <f aca="false">IF(AND(I$28&gt;=$C187+$B$13,I$28&lt;$C187+$B$13+$B$10),$E187,0)</f>
        <v>0</v>
      </c>
      <c r="J187" s="145" t="n">
        <f aca="false">IF(AND(J$28&gt;=$C187+$B$13,J$28&lt;$C187+$B$13+$B$10),$E187,0)</f>
        <v>0</v>
      </c>
      <c r="K187" s="145" t="n">
        <f aca="false">IF(AND(K$28&gt;=$C187+$B$13,K$28&lt;$C187+$B$13+$B$10),$E187,0)</f>
        <v>0</v>
      </c>
      <c r="L187" s="145" t="n">
        <f aca="false">IF(AND(L$28&gt;=$C187+$B$13,L$28&lt;$C187+$B$13+$B$10),$E187,0)</f>
        <v>0</v>
      </c>
      <c r="M187" s="145" t="n">
        <f aca="false">IF(AND(M$28&gt;=$C187+$B$13,M$28&lt;$C187+$B$13+$B$10),$E187,0)</f>
        <v>0</v>
      </c>
      <c r="N187" s="145" t="n">
        <f aca="false">IF(AND(N$28&gt;=$C187+$B$13,N$28&lt;$C187+$B$13+$B$10),$E187,0)</f>
        <v>0</v>
      </c>
      <c r="O187" s="145" t="n">
        <f aca="false">IF(AND(O$28&gt;=$C187+$B$13,O$28&lt;$C187+$B$13+$B$10),$E187,0)</f>
        <v>492.133014061155</v>
      </c>
      <c r="P187" s="145" t="n">
        <f aca="false">IF(AND(P$28&gt;=$C187+$B$13,P$28&lt;$C187+$B$13+$B$10),$E187,0)</f>
        <v>492.133014061155</v>
      </c>
      <c r="Q187" s="145" t="n">
        <f aca="false">IF(AND(Q$28&gt;=$C187+$B$13,Q$28&lt;$C187+$B$13+$B$10),$E187,0)</f>
        <v>492.133014061155</v>
      </c>
      <c r="R187" s="145" t="n">
        <f aca="false">SUM(F187:Q187)</f>
        <v>1476.39904218346</v>
      </c>
    </row>
    <row r="188" customFormat="false" ht="15" hidden="false" customHeight="false" outlineLevel="0" collapsed="false">
      <c r="A188" s="3" t="s">
        <v>2574</v>
      </c>
      <c r="B188" s="146" t="n">
        <f aca="false">$B$15</f>
        <v>5012</v>
      </c>
      <c r="C188" s="3" t="n">
        <v>11</v>
      </c>
      <c r="D188" s="145" t="n">
        <f aca="false">INDEX($B$157:$Q$157,4+$C188-$B$133)*INDEX($F$30:$Q$30,$C188)</f>
        <v>79256.8453542033</v>
      </c>
      <c r="E188" s="145" t="n">
        <f aca="false">D188*(1-$B$12)/$B$10</f>
        <v>660.473711285027</v>
      </c>
      <c r="F188" s="145" t="n">
        <f aca="false">IF(AND(F$28&gt;=$C188+$B$13,F$28&lt;$C188+$B$13+$B$10),$E188,0)</f>
        <v>0</v>
      </c>
      <c r="G188" s="145" t="n">
        <f aca="false">IF(AND(G$28&gt;=$C188+$B$13,G$28&lt;$C188+$B$13+$B$10),$E188,0)</f>
        <v>0</v>
      </c>
      <c r="H188" s="145" t="n">
        <f aca="false">IF(AND(H$28&gt;=$C188+$B$13,H$28&lt;$C188+$B$13+$B$10),$E188,0)</f>
        <v>0</v>
      </c>
      <c r="I188" s="145" t="n">
        <f aca="false">IF(AND(I$28&gt;=$C188+$B$13,I$28&lt;$C188+$B$13+$B$10),$E188,0)</f>
        <v>0</v>
      </c>
      <c r="J188" s="145" t="n">
        <f aca="false">IF(AND(J$28&gt;=$C188+$B$13,J$28&lt;$C188+$B$13+$B$10),$E188,0)</f>
        <v>0</v>
      </c>
      <c r="K188" s="145" t="n">
        <f aca="false">IF(AND(K$28&gt;=$C188+$B$13,K$28&lt;$C188+$B$13+$B$10),$E188,0)</f>
        <v>0</v>
      </c>
      <c r="L188" s="145" t="n">
        <f aca="false">IF(AND(L$28&gt;=$C188+$B$13,L$28&lt;$C188+$B$13+$B$10),$E188,0)</f>
        <v>0</v>
      </c>
      <c r="M188" s="145" t="n">
        <f aca="false">IF(AND(M$28&gt;=$C188+$B$13,M$28&lt;$C188+$B$13+$B$10),$E188,0)</f>
        <v>0</v>
      </c>
      <c r="N188" s="145" t="n">
        <f aca="false">IF(AND(N$28&gt;=$C188+$B$13,N$28&lt;$C188+$B$13+$B$10),$E188,0)</f>
        <v>0</v>
      </c>
      <c r="O188" s="145" t="n">
        <f aca="false">IF(AND(O$28&gt;=$C188+$B$13,O$28&lt;$C188+$B$13+$B$10),$E188,0)</f>
        <v>0</v>
      </c>
      <c r="P188" s="145" t="n">
        <f aca="false">IF(AND(P$28&gt;=$C188+$B$13,P$28&lt;$C188+$B$13+$B$10),$E188,0)</f>
        <v>660.473711285027</v>
      </c>
      <c r="Q188" s="145" t="n">
        <f aca="false">IF(AND(Q$28&gt;=$C188+$B$13,Q$28&lt;$C188+$B$13+$B$10),$E188,0)</f>
        <v>660.473711285027</v>
      </c>
      <c r="R188" s="145" t="n">
        <f aca="false">SUM(F188:Q188)</f>
        <v>1320.94742257005</v>
      </c>
    </row>
    <row r="189" customFormat="false" ht="15" hidden="false" customHeight="false" outlineLevel="0" collapsed="false">
      <c r="A189" s="3" t="s">
        <v>2575</v>
      </c>
      <c r="B189" s="146" t="n">
        <f aca="false">$B$15</f>
        <v>5012</v>
      </c>
      <c r="C189" s="3" t="n">
        <v>12</v>
      </c>
      <c r="D189" s="145" t="n">
        <f aca="false">INDEX($B$157:$Q$157,4+$C189-$B$133)*INDEX($F$30:$Q$30,$C189)</f>
        <v>77239.5563633962</v>
      </c>
      <c r="E189" s="145" t="n">
        <f aca="false">D189*(1-$B$12)/$B$10</f>
        <v>643.662969694969</v>
      </c>
      <c r="F189" s="145" t="n">
        <f aca="false">IF(AND(F$28&gt;=$C189+$B$13,F$28&lt;$C189+$B$13+$B$10),$E189,0)</f>
        <v>0</v>
      </c>
      <c r="G189" s="145" t="n">
        <f aca="false">IF(AND(G$28&gt;=$C189+$B$13,G$28&lt;$C189+$B$13+$B$10),$E189,0)</f>
        <v>0</v>
      </c>
      <c r="H189" s="145" t="n">
        <f aca="false">IF(AND(H$28&gt;=$C189+$B$13,H$28&lt;$C189+$B$13+$B$10),$E189,0)</f>
        <v>0</v>
      </c>
      <c r="I189" s="145" t="n">
        <f aca="false">IF(AND(I$28&gt;=$C189+$B$13,I$28&lt;$C189+$B$13+$B$10),$E189,0)</f>
        <v>0</v>
      </c>
      <c r="J189" s="145" t="n">
        <f aca="false">IF(AND(J$28&gt;=$C189+$B$13,J$28&lt;$C189+$B$13+$B$10),$E189,0)</f>
        <v>0</v>
      </c>
      <c r="K189" s="145" t="n">
        <f aca="false">IF(AND(K$28&gt;=$C189+$B$13,K$28&lt;$C189+$B$13+$B$10),$E189,0)</f>
        <v>0</v>
      </c>
      <c r="L189" s="145" t="n">
        <f aca="false">IF(AND(L$28&gt;=$C189+$B$13,L$28&lt;$C189+$B$13+$B$10),$E189,0)</f>
        <v>0</v>
      </c>
      <c r="M189" s="145" t="n">
        <f aca="false">IF(AND(M$28&gt;=$C189+$B$13,M$28&lt;$C189+$B$13+$B$10),$E189,0)</f>
        <v>0</v>
      </c>
      <c r="N189" s="145" t="n">
        <f aca="false">IF(AND(N$28&gt;=$C189+$B$13,N$28&lt;$C189+$B$13+$B$10),$E189,0)</f>
        <v>0</v>
      </c>
      <c r="O189" s="145" t="n">
        <f aca="false">IF(AND(O$28&gt;=$C189+$B$13,O$28&lt;$C189+$B$13+$B$10),$E189,0)</f>
        <v>0</v>
      </c>
      <c r="P189" s="145" t="n">
        <f aca="false">IF(AND(P$28&gt;=$C189+$B$13,P$28&lt;$C189+$B$13+$B$10),$E189,0)</f>
        <v>0</v>
      </c>
      <c r="Q189" s="145" t="n">
        <f aca="false">IF(AND(Q$28&gt;=$C189+$B$13,Q$28&lt;$C189+$B$13+$B$10),$E189,0)</f>
        <v>643.662969694969</v>
      </c>
      <c r="R189" s="145" t="n">
        <f aca="false">SUM(F189:Q189)</f>
        <v>643.662969694969</v>
      </c>
    </row>
    <row r="191" customFormat="false" ht="15" hidden="false" customHeight="false" outlineLevel="0" collapsed="false">
      <c r="A191" s="5" t="s">
        <v>2576</v>
      </c>
    </row>
    <row r="192" customFormat="false" ht="15" hidden="false" customHeight="false" outlineLevel="0" collapsed="false">
      <c r="A192" s="2" t="s">
        <v>2467</v>
      </c>
      <c r="B192" s="2" t="s">
        <v>704</v>
      </c>
      <c r="C192" s="2" t="s">
        <v>2468</v>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2" t="s">
        <v>2325</v>
      </c>
      <c r="S192" s="2" t="s">
        <v>2417</v>
      </c>
    </row>
    <row r="193" customFormat="false" ht="15" hidden="false" customHeight="false" outlineLevel="0" collapsed="false">
      <c r="A193" s="3" t="s">
        <v>2577</v>
      </c>
      <c r="B193" s="146" t="n">
        <f aca="false">$B$14</f>
        <v>5011</v>
      </c>
      <c r="C193" s="3" t="n">
        <v>20</v>
      </c>
      <c r="F193" s="145" t="n">
        <f aca="false">SUMIF($B$165:$B$189,$B193,F$165:F$189)+F231</f>
        <v>0</v>
      </c>
      <c r="G193" s="145" t="n">
        <f aca="false">SUMIF($B$165:$B$189,$B193,G$165:G$189)+G231</f>
        <v>0</v>
      </c>
      <c r="H193" s="145" t="n">
        <f aca="false">SUMIF($B$165:$B$189,$B193,H$165:H$189)+H231</f>
        <v>0</v>
      </c>
      <c r="I193" s="145" t="n">
        <f aca="false">SUMIF($B$165:$B$189,$B193,I$165:I$189)+I231</f>
        <v>2665.69230913508</v>
      </c>
      <c r="J193" s="145" t="n">
        <f aca="false">SUMIF($B$165:$B$189,$B193,J$165:J$189)+J231</f>
        <v>4079.51590963608</v>
      </c>
      <c r="K193" s="145" t="n">
        <f aca="false">SUMIF($B$165:$B$189,$B193,K$165:K$189)+K231</f>
        <v>5493.33951013707</v>
      </c>
      <c r="L193" s="145" t="n">
        <f aca="false">SUMIF($B$165:$B$189,$B193,L$165:L$189)+L231</f>
        <v>6918.75486683126</v>
      </c>
      <c r="M193" s="145" t="n">
        <f aca="false">SUMIF($B$165:$B$189,$B193,M$165:M$189)+M231</f>
        <v>8355.76195573341</v>
      </c>
      <c r="N193" s="145" t="n">
        <f aca="false">SUMIF($B$165:$B$189,$B193,N$165:N$189)+N231</f>
        <v>10160.1529993844</v>
      </c>
      <c r="O193" s="145" t="n">
        <f aca="false">SUMIF($B$165:$B$189,$B193,O$165:O$189)+O231</f>
        <v>11871.7281354905</v>
      </c>
      <c r="P193" s="145" t="n">
        <f aca="false">SUMIF($B$165:$B$189,$B193,P$165:P$189)+P231</f>
        <v>13787.1236462887</v>
      </c>
      <c r="Q193" s="145" t="n">
        <f aca="false">SUMIF($B$165:$B$189,$B193,Q$165:Q$189)+Q231</f>
        <v>15958.3338478851</v>
      </c>
      <c r="R193" s="145" t="n">
        <f aca="false">SUM(F193:Q193)</f>
        <v>79290.4031805216</v>
      </c>
      <c r="S193" s="3" t="s">
        <v>2578</v>
      </c>
    </row>
    <row r="194" customFormat="false" ht="15" hidden="false" customHeight="false" outlineLevel="0" collapsed="false">
      <c r="A194" s="3" t="s">
        <v>2579</v>
      </c>
      <c r="B194" s="146" t="n">
        <f aca="false">$B$15</f>
        <v>5012</v>
      </c>
      <c r="C194" s="3" t="n">
        <v>21</v>
      </c>
      <c r="F194" s="145" t="n">
        <f aca="false">SUMIF($B$165:$B$189,$B194,F$165:F$189)+F232</f>
        <v>0</v>
      </c>
      <c r="G194" s="145" t="n">
        <f aca="false">SUMIF($B$165:$B$189,$B194,G$165:G$189)+G232</f>
        <v>0</v>
      </c>
      <c r="H194" s="145" t="n">
        <f aca="false">SUMIF($B$165:$B$189,$B194,H$165:H$189)+H232</f>
        <v>0</v>
      </c>
      <c r="I194" s="145" t="n">
        <f aca="false">SUMIF($B$165:$B$189,$B194,I$165:I$189)+I232</f>
        <v>817.361309751274</v>
      </c>
      <c r="J194" s="145" t="n">
        <f aca="false">SUMIF($B$165:$B$189,$B194,J$165:J$189)+J232</f>
        <v>1288.10267481725</v>
      </c>
      <c r="K194" s="145" t="n">
        <f aca="false">SUMIF($B$165:$B$189,$B194,K$165:K$189)+K232</f>
        <v>1758.84403988322</v>
      </c>
      <c r="L194" s="145" t="n">
        <f aca="false">SUMIF($B$165:$B$189,$B194,L$165:L$189)+L232</f>
        <v>2233.42757537229</v>
      </c>
      <c r="M194" s="145" t="n">
        <f aca="false">SUMIF($B$165:$B$189,$B194,M$165:M$189)+M232</f>
        <v>2711.85329807411</v>
      </c>
      <c r="N194" s="145" t="n">
        <f aca="false">SUMIF($B$165:$B$189,$B194,N$165:N$189)+N232</f>
        <v>3218.91928611008</v>
      </c>
      <c r="O194" s="145" t="n">
        <f aca="false">SUMIF($B$165:$B$189,$B194,O$165:O$189)+O232</f>
        <v>3711.05230017123</v>
      </c>
      <c r="P194" s="145" t="n">
        <f aca="false">SUMIF($B$165:$B$189,$B194,P$165:P$189)+P232</f>
        <v>4371.52601145626</v>
      </c>
      <c r="Q194" s="145" t="n">
        <f aca="false">SUMIF($B$165:$B$189,$B194,Q$165:Q$189)+Q232</f>
        <v>5015.18898115123</v>
      </c>
      <c r="R194" s="145" t="n">
        <f aca="false">SUM(F194:Q194)</f>
        <v>25126.2754767869</v>
      </c>
      <c r="S194" s="3" t="s">
        <v>2580</v>
      </c>
    </row>
    <row r="195" customFormat="false" ht="15" hidden="false" customHeight="false" outlineLevel="0" collapsed="false">
      <c r="A195" s="138" t="s">
        <v>2581</v>
      </c>
      <c r="F195" s="145" t="n">
        <f aca="false">F193+F194</f>
        <v>0</v>
      </c>
      <c r="G195" s="145" t="n">
        <f aca="false">G193+G194</f>
        <v>0</v>
      </c>
      <c r="H195" s="145" t="n">
        <f aca="false">H193+H194</f>
        <v>0</v>
      </c>
      <c r="I195" s="145" t="n">
        <f aca="false">I193+I194</f>
        <v>3483.05361888636</v>
      </c>
      <c r="J195" s="145" t="n">
        <f aca="false">J193+J194</f>
        <v>5367.61858445332</v>
      </c>
      <c r="K195" s="145" t="n">
        <f aca="false">K193+K194</f>
        <v>7252.18355002029</v>
      </c>
      <c r="L195" s="145" t="n">
        <f aca="false">L193+L194</f>
        <v>9152.18244220354</v>
      </c>
      <c r="M195" s="145" t="n">
        <f aca="false">M193+M194</f>
        <v>11067.6152538075</v>
      </c>
      <c r="N195" s="145" t="n">
        <f aca="false">N193+N194</f>
        <v>13379.0722854945</v>
      </c>
      <c r="O195" s="145" t="n">
        <f aca="false">O193+O194</f>
        <v>15582.7804356617</v>
      </c>
      <c r="P195" s="145" t="n">
        <f aca="false">P193+P194</f>
        <v>18158.6496577449</v>
      </c>
      <c r="Q195" s="145" t="n">
        <f aca="false">Q193+Q194</f>
        <v>20973.5228290364</v>
      </c>
      <c r="R195" s="145" t="n">
        <f aca="false">SUM(F195:Q195)</f>
        <v>104416.678657309</v>
      </c>
    </row>
    <row r="196" customFormat="false" ht="15" hidden="false" customHeight="false" outlineLevel="0" collapsed="false">
      <c r="A196" s="3" t="s">
        <v>2582</v>
      </c>
      <c r="R196" s="145" t="n">
        <f aca="false">R195-SUM(R165:R189)-R231-R232</f>
        <v>0</v>
      </c>
    </row>
    <row r="197" customFormat="false" ht="15" hidden="false" customHeight="false" outlineLevel="0" collapsed="false">
      <c r="A197" s="138" t="s">
        <v>2583</v>
      </c>
      <c r="R197" s="145" t="n">
        <f aca="false">R83+R195</f>
        <v>3423224.84246683</v>
      </c>
    </row>
    <row r="199" customFormat="false" ht="15" hidden="false" customHeight="false" outlineLevel="0" collapsed="false">
      <c r="A199" s="5" t="s">
        <v>2584</v>
      </c>
    </row>
    <row r="200" customFormat="false" ht="15" hidden="false" customHeight="false" outlineLevel="0" collapsed="false">
      <c r="A200" s="2" t="s">
        <v>98</v>
      </c>
      <c r="B200" s="2" t="s">
        <v>305</v>
      </c>
    </row>
    <row r="201" customFormat="false" ht="15" hidden="false" customHeight="false" outlineLevel="0" collapsed="false">
      <c r="A201" s="3" t="s">
        <v>2585</v>
      </c>
      <c r="B201" s="145" t="n">
        <f aca="false">'Prod Payroll'!S81</f>
        <v>2592893.90102852</v>
      </c>
    </row>
    <row r="202" customFormat="false" ht="15" hidden="false" customHeight="false" outlineLevel="0" collapsed="false">
      <c r="A202" s="3" t="s">
        <v>2586</v>
      </c>
      <c r="B202" s="145" t="n">
        <f aca="false">R149</f>
        <v>2592893.90102852</v>
      </c>
    </row>
    <row r="203" customFormat="false" ht="15" hidden="false" customHeight="false" outlineLevel="0" collapsed="false">
      <c r="A203" s="3" t="s">
        <v>2587</v>
      </c>
      <c r="B203" s="145" t="n">
        <f aca="false">SUM(F159:Q159)</f>
        <v>1942322.7209605</v>
      </c>
    </row>
    <row r="204" customFormat="false" ht="15" hidden="false" customHeight="false" outlineLevel="0" collapsed="false">
      <c r="A204" s="3" t="s">
        <v>2588</v>
      </c>
      <c r="B204" s="145" t="n">
        <f aca="false">SUM(F160:Q160)</f>
        <v>650571.18006802</v>
      </c>
    </row>
    <row r="205" customFormat="false" ht="15" hidden="false" customHeight="false" outlineLevel="0" collapsed="false">
      <c r="A205" s="3" t="s">
        <v>316</v>
      </c>
      <c r="B205" s="145" t="n">
        <f aca="false">Q153+Q155</f>
        <v>0</v>
      </c>
    </row>
    <row r="206" customFormat="false" ht="15" hidden="false" customHeight="false" outlineLevel="0" collapsed="false">
      <c r="A206" s="3" t="s">
        <v>2589</v>
      </c>
      <c r="B206" s="145" t="n">
        <f aca="false">B202-SUM(B203:B205)-R223</f>
        <v>0</v>
      </c>
    </row>
    <row r="207" customFormat="false" ht="15" hidden="false" customHeight="false" outlineLevel="0" collapsed="false">
      <c r="A207" s="3" t="s">
        <v>2590</v>
      </c>
      <c r="B207" s="145" t="n">
        <f aca="false">SUM(B149:E149)</f>
        <v>0</v>
      </c>
    </row>
    <row r="208" customFormat="false" ht="15" hidden="false" customHeight="false" outlineLevel="0" collapsed="false">
      <c r="A208" s="3" t="s">
        <v>2591</v>
      </c>
      <c r="B208" s="145" t="n">
        <f aca="false">SUM(B159:E159)</f>
        <v>0</v>
      </c>
    </row>
    <row r="209" customFormat="false" ht="15" hidden="false" customHeight="false" outlineLevel="0" collapsed="false">
      <c r="A209" s="3" t="s">
        <v>2592</v>
      </c>
      <c r="B209" s="145" t="n">
        <f aca="false">SUM(B161:E161)</f>
        <v>0</v>
      </c>
    </row>
    <row r="210" customFormat="false" ht="15" hidden="false" customHeight="false" outlineLevel="0" collapsed="false">
      <c r="A210" s="3" t="s">
        <v>2593</v>
      </c>
      <c r="B210" s="145" t="n">
        <f aca="false">SUM(D165:D176)+SUM(D178:D189)</f>
        <v>1942322.7209605</v>
      </c>
    </row>
    <row r="211" customFormat="false" ht="15" hidden="false" customHeight="false" outlineLevel="0" collapsed="false">
      <c r="A211" s="3" t="s">
        <v>2594</v>
      </c>
      <c r="B211" s="145" t="n">
        <f aca="false">B210-B203-B208</f>
        <v>0</v>
      </c>
    </row>
    <row r="212" customFormat="false" ht="15" hidden="false" customHeight="false" outlineLevel="0" collapsed="false">
      <c r="A212" s="3" t="s">
        <v>2595</v>
      </c>
      <c r="B212" s="145" t="n">
        <f aca="false">R195</f>
        <v>104416.678657309</v>
      </c>
    </row>
    <row r="213" customFormat="false" ht="15" hidden="false" customHeight="false" outlineLevel="0" collapsed="false">
      <c r="A213" s="3" t="s">
        <v>2596</v>
      </c>
      <c r="B213" s="145" t="n">
        <f aca="false">B210-(B212-R233)</f>
        <v>1837906.04230319</v>
      </c>
    </row>
    <row r="214" customFormat="false" ht="15" hidden="false" customHeight="false" outlineLevel="0" collapsed="false">
      <c r="A214" s="3" t="s">
        <v>2597</v>
      </c>
      <c r="B214" s="145" t="n">
        <f aca="false">SUM(F141:Q142)</f>
        <v>630504.482935372</v>
      </c>
    </row>
    <row r="215" customFormat="false" ht="15" hidden="false" customHeight="false" outlineLevel="0" collapsed="false">
      <c r="A215" s="3" t="s">
        <v>2598</v>
      </c>
      <c r="B215" s="145" t="n">
        <f aca="false">SUM(F147:Q147)/SUM(F150:Q150)</f>
        <v>5734.75673584855</v>
      </c>
    </row>
    <row r="216" customFormat="false" ht="15" hidden="false" customHeight="false" outlineLevel="0" collapsed="false">
      <c r="A216" s="3" t="s">
        <v>2599</v>
      </c>
      <c r="B216" s="145" t="n">
        <f aca="false">SUM(F148:Q148)/SUM(F151:Q151)</f>
        <v>593.099482984333</v>
      </c>
    </row>
    <row r="218" customFormat="false" ht="15" hidden="false" customHeight="false" outlineLevel="0" collapsed="false">
      <c r="A218" s="5" t="s">
        <v>2600</v>
      </c>
    </row>
    <row r="219" customFormat="false" ht="15" hidden="false" customHeight="false" outlineLevel="0" collapsed="false">
      <c r="A219" s="3" t="s">
        <v>2601</v>
      </c>
    </row>
    <row r="220" customFormat="false" ht="15" hidden="false" customHeight="false" outlineLevel="0" collapsed="false">
      <c r="A220" s="2" t="s">
        <v>2351</v>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2" t="s">
        <v>2325</v>
      </c>
      <c r="S220" s="2" t="s">
        <v>2417</v>
      </c>
    </row>
    <row r="221" customFormat="false" ht="15" hidden="false" customHeight="false" outlineLevel="0" collapsed="false">
      <c r="A221" s="3" t="s">
        <v>2602</v>
      </c>
      <c r="B221" s="145" t="n">
        <f aca="false">IF(B150&gt;0,0,(1-$B$135)*(B147))</f>
        <v>0</v>
      </c>
      <c r="C221" s="145" t="n">
        <f aca="false">IF(C150&gt;0,0,(1-$B$135)*(C147+B153))</f>
        <v>0</v>
      </c>
      <c r="D221" s="145" t="n">
        <f aca="false">IF(D150&gt;0,0,(1-$B$135)*(D147+C153))</f>
        <v>0</v>
      </c>
      <c r="E221" s="145" t="n">
        <f aca="false">IF(E150&gt;0,0,(1-$B$135)*(E147+D153))</f>
        <v>0</v>
      </c>
      <c r="F221" s="145" t="n">
        <f aca="false">IF(F150&gt;0,0,(1-$B$135)*(F147+E153))</f>
        <v>0</v>
      </c>
      <c r="G221" s="145" t="n">
        <f aca="false">IF(G150&gt;0,0,(1-$B$135)*(G147+F153))</f>
        <v>0</v>
      </c>
      <c r="H221" s="145" t="n">
        <f aca="false">IF(H150&gt;0,0,(1-$B$135)*(H147+G153))</f>
        <v>0</v>
      </c>
      <c r="I221" s="145" t="n">
        <f aca="false">IF(I150&gt;0,0,(1-$B$135)*(I147+H153))</f>
        <v>0</v>
      </c>
      <c r="J221" s="145" t="n">
        <f aca="false">IF(J150&gt;0,0,(1-$B$135)*(J147+I153))</f>
        <v>0</v>
      </c>
      <c r="K221" s="145" t="n">
        <f aca="false">IF(K150&gt;0,0,(1-$B$135)*(K147+J153))</f>
        <v>0</v>
      </c>
      <c r="L221" s="145" t="n">
        <f aca="false">IF(L150&gt;0,0,(1-$B$135)*(L147+K153))</f>
        <v>0</v>
      </c>
      <c r="M221" s="145" t="n">
        <f aca="false">IF(M150&gt;0,0,(1-$B$135)*(M147+L153))</f>
        <v>0</v>
      </c>
      <c r="N221" s="145" t="n">
        <f aca="false">IF(N150&gt;0,0,(1-$B$135)*(N147+M153))</f>
        <v>0</v>
      </c>
      <c r="O221" s="145" t="n">
        <f aca="false">IF(O150&gt;0,0,(1-$B$135)*(O147+N153))</f>
        <v>0</v>
      </c>
      <c r="P221" s="145" t="n">
        <f aca="false">IF(P150&gt;0,0,(1-$B$135)*(P147+O153))</f>
        <v>0</v>
      </c>
      <c r="Q221" s="145" t="n">
        <f aca="false">IF(Q150&gt;0,0,(1-$B$135)*(Q147+P153))</f>
        <v>0</v>
      </c>
      <c r="R221" s="145" t="n">
        <f aca="false">SUM(F221:Q221)</f>
        <v>0</v>
      </c>
      <c r="S221" s="3" t="s">
        <v>2603</v>
      </c>
    </row>
    <row r="222" customFormat="false" ht="15" hidden="false" customHeight="false" outlineLevel="0" collapsed="false">
      <c r="A222" s="3" t="s">
        <v>2604</v>
      </c>
      <c r="B222" s="145" t="n">
        <f aca="false">IF(B151&gt;0,0,(1-$B$135)*(B148))</f>
        <v>0</v>
      </c>
      <c r="C222" s="145" t="n">
        <f aca="false">IF(C151&gt;0,0,(1-$B$135)*(C148+B155))</f>
        <v>0</v>
      </c>
      <c r="D222" s="145" t="n">
        <f aca="false">IF(D151&gt;0,0,(1-$B$135)*(D148+C155))</f>
        <v>0</v>
      </c>
      <c r="E222" s="145" t="n">
        <f aca="false">IF(E151&gt;0,0,(1-$B$135)*(E148+D155))</f>
        <v>0</v>
      </c>
      <c r="F222" s="145" t="n">
        <f aca="false">IF(F151&gt;0,0,(1-$B$135)*(F148+E155))</f>
        <v>0</v>
      </c>
      <c r="G222" s="145" t="n">
        <f aca="false">IF(G151&gt;0,0,(1-$B$135)*(G148+F155))</f>
        <v>0</v>
      </c>
      <c r="H222" s="145" t="n">
        <f aca="false">IF(H151&gt;0,0,(1-$B$135)*(H148+G155))</f>
        <v>0</v>
      </c>
      <c r="I222" s="145" t="n">
        <f aca="false">IF(I151&gt;0,0,(1-$B$135)*(I148+H155))</f>
        <v>0</v>
      </c>
      <c r="J222" s="145" t="n">
        <f aca="false">IF(J151&gt;0,0,(1-$B$135)*(J148+I155))</f>
        <v>0</v>
      </c>
      <c r="K222" s="145" t="n">
        <f aca="false">IF(K151&gt;0,0,(1-$B$135)*(K148+J155))</f>
        <v>0</v>
      </c>
      <c r="L222" s="145" t="n">
        <f aca="false">IF(L151&gt;0,0,(1-$B$135)*(L148+K155))</f>
        <v>0</v>
      </c>
      <c r="M222" s="145" t="n">
        <f aca="false">IF(M151&gt;0,0,(1-$B$135)*(M148+L155))</f>
        <v>0</v>
      </c>
      <c r="N222" s="145" t="n">
        <f aca="false">IF(N151&gt;0,0,(1-$B$135)*(N148+M155))</f>
        <v>0</v>
      </c>
      <c r="O222" s="145" t="n">
        <f aca="false">IF(O151&gt;0,0,(1-$B$135)*(O148+N155))</f>
        <v>0</v>
      </c>
      <c r="P222" s="145" t="n">
        <f aca="false">IF(P151&gt;0,0,(1-$B$135)*(P148+O155))</f>
        <v>0</v>
      </c>
      <c r="Q222" s="145" t="n">
        <f aca="false">IF(Q151&gt;0,0,(1-$B$135)*(Q148+P155))</f>
        <v>0</v>
      </c>
      <c r="R222" s="145" t="n">
        <f aca="false">SUM(F222:Q222)</f>
        <v>0</v>
      </c>
    </row>
    <row r="223" customFormat="false" ht="15" hidden="false" customHeight="false" outlineLevel="0" collapsed="false">
      <c r="A223" s="138" t="s">
        <v>2605</v>
      </c>
      <c r="B223" s="145" t="n">
        <f aca="false">B221+B222</f>
        <v>0</v>
      </c>
      <c r="C223" s="145" t="n">
        <f aca="false">C221+C222</f>
        <v>0</v>
      </c>
      <c r="D223" s="145" t="n">
        <f aca="false">D221+D222</f>
        <v>0</v>
      </c>
      <c r="E223" s="145" t="n">
        <f aca="false">E221+E222</f>
        <v>0</v>
      </c>
      <c r="F223" s="145" t="n">
        <f aca="false">F221+F222</f>
        <v>0</v>
      </c>
      <c r="G223" s="145" t="n">
        <f aca="false">G221+G222</f>
        <v>0</v>
      </c>
      <c r="H223" s="145" t="n">
        <f aca="false">H221+H222</f>
        <v>0</v>
      </c>
      <c r="I223" s="145" t="n">
        <f aca="false">I221+I222</f>
        <v>0</v>
      </c>
      <c r="J223" s="145" t="n">
        <f aca="false">J221+J222</f>
        <v>0</v>
      </c>
      <c r="K223" s="145" t="n">
        <f aca="false">K221+K222</f>
        <v>0</v>
      </c>
      <c r="L223" s="145" t="n">
        <f aca="false">L221+L222</f>
        <v>0</v>
      </c>
      <c r="M223" s="145" t="n">
        <f aca="false">M221+M222</f>
        <v>0</v>
      </c>
      <c r="N223" s="145" t="n">
        <f aca="false">N221+N222</f>
        <v>0</v>
      </c>
      <c r="O223" s="145" t="n">
        <f aca="false">O221+O222</f>
        <v>0</v>
      </c>
      <c r="P223" s="145" t="n">
        <f aca="false">P221+P222</f>
        <v>0</v>
      </c>
      <c r="Q223" s="145" t="n">
        <f aca="false">Q221+Q222</f>
        <v>0</v>
      </c>
      <c r="R223" s="145" t="n">
        <f aca="false">SUM(F223:Q223)</f>
        <v>0</v>
      </c>
    </row>
    <row r="224" customFormat="false" ht="15" hidden="false" customHeight="false" outlineLevel="0" collapsed="false">
      <c r="A224" s="3" t="s">
        <v>2606</v>
      </c>
      <c r="B224" s="145" t="n">
        <f aca="false">IF('Prod Payroll'!B81=0,0,('Prod Payroll'!B37+'Prod Payroll'!B58+'Prod Payroll'!B75)/'Prod Payroll'!B81)</f>
        <v>0.0588722563662026</v>
      </c>
      <c r="C224" s="145" t="n">
        <f aca="false">IF('Prod Payroll'!C81=0,0,('Prod Payroll'!C37+'Prod Payroll'!C58+'Prod Payroll'!C75)/'Prod Payroll'!C81)</f>
        <v>0.0653455730076318</v>
      </c>
      <c r="D224" s="145" t="n">
        <f aca="false">IF('Prod Payroll'!D81=0,0,('Prod Payroll'!D37+'Prod Payroll'!D58+'Prod Payroll'!D75)/'Prod Payroll'!D81)</f>
        <v>0.0594976004772153</v>
      </c>
      <c r="E224" s="145" t="n">
        <f aca="false">IF('Prod Payroll'!E81=0,0,('Prod Payroll'!E37+'Prod Payroll'!E58+'Prod Payroll'!E75)/'Prod Payroll'!E81)</f>
        <v>0.0654373871035608</v>
      </c>
      <c r="F224" s="145" t="n">
        <f aca="false">IF('Prod Payroll'!F81=0,0,('Prod Payroll'!F37+'Prod Payroll'!F58+'Prod Payroll'!F75)/'Prod Payroll'!F81)</f>
        <v>0.0653333451853202</v>
      </c>
      <c r="G224" s="145" t="n">
        <f aca="false">IF('Prod Payroll'!G81=0,0,('Prod Payroll'!G37+'Prod Payroll'!G58+'Prod Payroll'!G75)/'Prod Payroll'!G81)</f>
        <v>0.0631613810628856</v>
      </c>
      <c r="H224" s="145" t="n">
        <f aca="false">IF('Prod Payroll'!H81=0,0,('Prod Payroll'!H37+'Prod Payroll'!H58+'Prod Payroll'!H75)/'Prod Payroll'!H81)</f>
        <v>0.0653238231177796</v>
      </c>
      <c r="I224" s="145" t="n">
        <f aca="false">IF('Prod Payroll'!I81=0,0,('Prod Payroll'!I37+'Prod Payroll'!I58+'Prod Payroll'!I75)/'Prod Payroll'!I81)</f>
        <v>0.0653238231177796</v>
      </c>
      <c r="J224" s="145" t="n">
        <f aca="false">IF('Prod Payroll'!J81=0,0,('Prod Payroll'!J37+'Prod Payroll'!J58+'Prod Payroll'!J75)/'Prod Payroll'!J81)</f>
        <v>0.0653599074766251</v>
      </c>
      <c r="K224" s="145" t="n">
        <f aca="false">IF('Prod Payroll'!K81=0,0,('Prod Payroll'!K37+'Prod Payroll'!K58+'Prod Payroll'!K75)/'Prod Payroll'!K81)</f>
        <v>0.0653954105108052</v>
      </c>
      <c r="L224" s="145" t="n">
        <f aca="false">IF('Prod Payroll'!L81=0,0,('Prod Payroll'!L37+'Prod Payroll'!L58+'Prod Payroll'!L75)/'Prod Payroll'!L81)</f>
        <v>0.062967538383738</v>
      </c>
      <c r="M224" s="145" t="n">
        <f aca="false">IF('Prod Payroll'!M81=0,0,('Prod Payroll'!M37+'Prod Payroll'!M58+'Prod Payroll'!M75)/'Prod Payroll'!M81)</f>
        <v>0.0653978637997175</v>
      </c>
      <c r="N224" s="145" t="n">
        <f aca="false">IF('Prod Payroll'!N81=0,0,('Prod Payroll'!N37+'Prod Payroll'!N58+'Prod Payroll'!N75)/'Prod Payroll'!N81)</f>
        <v>0.0636899157971965</v>
      </c>
      <c r="O224" s="145" t="n">
        <f aca="false">IF('Prod Payroll'!O81=0,0,('Prod Payroll'!O37+'Prod Payroll'!O58+'Prod Payroll'!O75)/'Prod Payroll'!O81)</f>
        <v>0.0645737061456504</v>
      </c>
      <c r="P224" s="145" t="n">
        <f aca="false">IF('Prod Payroll'!P81=0,0,('Prod Payroll'!P37+'Prod Payroll'!P58+'Prod Payroll'!P75)/'Prod Payroll'!P81)</f>
        <v>0.0628957993833252</v>
      </c>
      <c r="Q224" s="145" t="n">
        <f aca="false">IF('Prod Payroll'!Q81=0,0,('Prod Payroll'!Q37+'Prod Payroll'!Q58+'Prod Payroll'!Q75)/'Prod Payroll'!Q81)</f>
        <v>0.0648422966032738</v>
      </c>
    </row>
    <row r="225" customFormat="false" ht="15" hidden="false" customHeight="false" outlineLevel="0" collapsed="false">
      <c r="A225" s="3" t="s">
        <v>2607</v>
      </c>
      <c r="B225" s="145" t="n">
        <f aca="false">IF('Prod Payroll'!B81=0,0,('Prod Payroll'!B38+'Prod Payroll'!B59+'Prod Payroll'!B76)/'Prod Payroll'!B81)</f>
        <v>0.0571015068749795</v>
      </c>
      <c r="C225" s="145" t="n">
        <f aca="false">IF('Prod Payroll'!C81=0,0,('Prod Payroll'!C38+'Prod Payroll'!C59+'Prod Payroll'!C76)/'Prod Payroll'!C81)</f>
        <v>0.0633801202239439</v>
      </c>
      <c r="D225" s="145" t="n">
        <f aca="false">IF('Prod Payroll'!D81=0,0,('Prod Payroll'!D38+'Prod Payroll'!D59+'Prod Payroll'!D76)/'Prod Payroll'!D81)</f>
        <v>0.0573876243498939</v>
      </c>
      <c r="E225" s="145" t="n">
        <f aca="false">IF('Prod Payroll'!E81=0,0,('Prod Payroll'!E38+'Prod Payroll'!E59+'Prod Payroll'!E76)/'Prod Payroll'!E81)</f>
        <v>0.0620641181822959</v>
      </c>
      <c r="F225" s="145" t="n">
        <f aca="false">IF('Prod Payroll'!F81=0,0,('Prod Payroll'!F38+'Prod Payroll'!F59+'Prod Payroll'!F76)/'Prod Payroll'!F81)</f>
        <v>0.0635553856770766</v>
      </c>
      <c r="G225" s="145" t="n">
        <f aca="false">IF('Prod Payroll'!G81=0,0,('Prod Payroll'!G38+'Prod Payroll'!G59+'Prod Payroll'!G76)/'Prod Payroll'!G81)</f>
        <v>0.0615834498671474</v>
      </c>
      <c r="H225" s="145" t="n">
        <f aca="false">IF('Prod Payroll'!H81=0,0,('Prod Payroll'!H38+'Prod Payroll'!H59+'Prod Payroll'!H76)/'Prod Payroll'!H81)</f>
        <v>0.0636918686451596</v>
      </c>
      <c r="I225" s="145" t="n">
        <f aca="false">IF('Prod Payroll'!I81=0,0,('Prod Payroll'!I38+'Prod Payroll'!I59+'Prod Payroll'!I76)/'Prod Payroll'!I81)</f>
        <v>0.0636918686451596</v>
      </c>
      <c r="J225" s="145" t="n">
        <f aca="false">IF('Prod Payroll'!J81=0,0,('Prod Payroll'!J38+'Prod Payroll'!J59+'Prod Payroll'!J76)/'Prod Payroll'!J81)</f>
        <v>0.0631746595017071</v>
      </c>
      <c r="K225" s="145" t="n">
        <f aca="false">IF('Prod Payroll'!K81=0,0,('Prod Payroll'!K38+'Prod Payroll'!K59+'Prod Payroll'!K76)/'Prod Payroll'!K81)</f>
        <v>0.0626657826784587</v>
      </c>
      <c r="L225" s="145" t="n">
        <f aca="false">IF('Prod Payroll'!L81=0,0,('Prod Payroll'!L38+'Prod Payroll'!L59+'Prod Payroll'!L76)/'Prod Payroll'!L81)</f>
        <v>0.0598034726514262</v>
      </c>
      <c r="M225" s="145" t="n">
        <f aca="false">IF('Prod Payroll'!M81=0,0,('Prod Payroll'!M38+'Prod Payroll'!M59+'Prod Payroll'!M76)/'Prod Payroll'!M81)</f>
        <v>0.0626306188707167</v>
      </c>
      <c r="N225" s="145" t="n">
        <f aca="false">IF('Prod Payroll'!N81=0,0,('Prod Payroll'!N38+'Prod Payroll'!N59+'Prod Payroll'!N76)/'Prod Payroll'!N81)</f>
        <v>0.0621268292489901</v>
      </c>
      <c r="O225" s="145" t="n">
        <f aca="false">IF('Prod Payroll'!O81=0,0,('Prod Payroll'!O38+'Prod Payroll'!O59+'Prod Payroll'!O76)/'Prod Payroll'!O81)</f>
        <v>0.0628882491206169</v>
      </c>
      <c r="P225" s="145" t="n">
        <f aca="false">IF('Prod Payroll'!P81=0,0,('Prod Payroll'!P38+'Prod Payroll'!P59+'Prod Payroll'!P76)/'Prod Payroll'!P81)</f>
        <v>0.0608165519721661</v>
      </c>
      <c r="Q225" s="145" t="n">
        <f aca="false">IF('Prod Payroll'!Q81=0,0,('Prod Payroll'!Q38+'Prod Payroll'!Q59+'Prod Payroll'!Q76)/'Prod Payroll'!Q81)</f>
        <v>0.0615596286660898</v>
      </c>
    </row>
    <row r="226" customFormat="false" ht="15" hidden="false" customHeight="false" outlineLevel="0" collapsed="false">
      <c r="A226" s="3" t="s">
        <v>2608</v>
      </c>
      <c r="F226" s="145" t="n">
        <f aca="false">F223*(1-F224-F225)</f>
        <v>0</v>
      </c>
      <c r="G226" s="145" t="n">
        <f aca="false">G223*(1-G224-G225)</f>
        <v>0</v>
      </c>
      <c r="H226" s="145" t="n">
        <f aca="false">H223*(1-H224-H225)</f>
        <v>0</v>
      </c>
      <c r="I226" s="145" t="n">
        <f aca="false">I223*(1-I224-I225)</f>
        <v>0</v>
      </c>
      <c r="J226" s="145" t="n">
        <f aca="false">J223*(1-J224-J225)</f>
        <v>0</v>
      </c>
      <c r="K226" s="145" t="n">
        <f aca="false">K223*(1-K224-K225)</f>
        <v>0</v>
      </c>
      <c r="L226" s="145" t="n">
        <f aca="false">L223*(1-L224-L225)</f>
        <v>0</v>
      </c>
      <c r="M226" s="145" t="n">
        <f aca="false">M223*(1-M224-M225)</f>
        <v>0</v>
      </c>
      <c r="N226" s="145" t="n">
        <f aca="false">N223*(1-N224-N225)</f>
        <v>0</v>
      </c>
      <c r="O226" s="145" t="n">
        <f aca="false">O223*(1-O224-O225)</f>
        <v>0</v>
      </c>
      <c r="P226" s="145" t="n">
        <f aca="false">P223*(1-P224-P225)</f>
        <v>0</v>
      </c>
      <c r="Q226" s="145" t="n">
        <f aca="false">Q223*(1-Q224-Q225)</f>
        <v>0</v>
      </c>
      <c r="R226" s="145" t="n">
        <f aca="false">SUM(F226:Q226)</f>
        <v>0</v>
      </c>
      <c r="S226" s="3" t="s">
        <v>2609</v>
      </c>
    </row>
    <row r="227" customFormat="false" ht="15" hidden="false" customHeight="false" outlineLevel="0" collapsed="false">
      <c r="A227" s="3" t="s">
        <v>2610</v>
      </c>
      <c r="F227" s="145" t="n">
        <f aca="false">F223*F224</f>
        <v>0</v>
      </c>
      <c r="G227" s="145" t="n">
        <f aca="false">G223*G224</f>
        <v>0</v>
      </c>
      <c r="H227" s="145" t="n">
        <f aca="false">H223*H224</f>
        <v>0</v>
      </c>
      <c r="I227" s="145" t="n">
        <f aca="false">I223*I224</f>
        <v>0</v>
      </c>
      <c r="J227" s="145" t="n">
        <f aca="false">J223*J224</f>
        <v>0</v>
      </c>
      <c r="K227" s="145" t="n">
        <f aca="false">K223*K224</f>
        <v>0</v>
      </c>
      <c r="L227" s="145" t="n">
        <f aca="false">L223*L224</f>
        <v>0</v>
      </c>
      <c r="M227" s="145" t="n">
        <f aca="false">M223*M224</f>
        <v>0</v>
      </c>
      <c r="N227" s="145" t="n">
        <f aca="false">N223*N224</f>
        <v>0</v>
      </c>
      <c r="O227" s="145" t="n">
        <f aca="false">O223*O224</f>
        <v>0</v>
      </c>
      <c r="P227" s="145" t="n">
        <f aca="false">P223*P224</f>
        <v>0</v>
      </c>
      <c r="Q227" s="145" t="n">
        <f aca="false">Q223*Q224</f>
        <v>0</v>
      </c>
      <c r="R227" s="145" t="n">
        <f aca="false">SUM(F227:Q227)</f>
        <v>0</v>
      </c>
    </row>
    <row r="228" customFormat="false" ht="15" hidden="false" customHeight="false" outlineLevel="0" collapsed="false">
      <c r="A228" s="3" t="s">
        <v>2611</v>
      </c>
      <c r="F228" s="145" t="n">
        <f aca="false">F223*F225</f>
        <v>0</v>
      </c>
      <c r="G228" s="145" t="n">
        <f aca="false">G223*G225</f>
        <v>0</v>
      </c>
      <c r="H228" s="145" t="n">
        <f aca="false">H223*H225</f>
        <v>0</v>
      </c>
      <c r="I228" s="145" t="n">
        <f aca="false">I223*I225</f>
        <v>0</v>
      </c>
      <c r="J228" s="145" t="n">
        <f aca="false">J223*J225</f>
        <v>0</v>
      </c>
      <c r="K228" s="145" t="n">
        <f aca="false">K223*K225</f>
        <v>0</v>
      </c>
      <c r="L228" s="145" t="n">
        <f aca="false">L223*L225</f>
        <v>0</v>
      </c>
      <c r="M228" s="145" t="n">
        <f aca="false">M223*M225</f>
        <v>0</v>
      </c>
      <c r="N228" s="145" t="n">
        <f aca="false">N223*N225</f>
        <v>0</v>
      </c>
      <c r="O228" s="145" t="n">
        <f aca="false">O223*O225</f>
        <v>0</v>
      </c>
      <c r="P228" s="145" t="n">
        <f aca="false">P223*P225</f>
        <v>0</v>
      </c>
      <c r="Q228" s="145" t="n">
        <f aca="false">Q223*Q225</f>
        <v>0</v>
      </c>
      <c r="R228" s="145" t="n">
        <f aca="false">SUM(F228:Q228)</f>
        <v>0</v>
      </c>
    </row>
    <row r="229" customFormat="false" ht="15" hidden="false" customHeight="false" outlineLevel="0" collapsed="false">
      <c r="A229" s="3" t="s">
        <v>2612</v>
      </c>
      <c r="R229" s="145" t="n">
        <f aca="false">SUM(R226:R228)-R223</f>
        <v>0</v>
      </c>
    </row>
    <row r="230" customFormat="false" ht="15" hidden="false" customHeight="false" outlineLevel="0" collapsed="false">
      <c r="A230" s="138" t="s">
        <v>2613</v>
      </c>
    </row>
    <row r="231" customFormat="false" ht="15" hidden="false" customHeight="false" outlineLevel="0" collapsed="false">
      <c r="A231" s="3" t="s">
        <v>2614</v>
      </c>
      <c r="F231" s="145" t="n">
        <f aca="false">($B$152*(YEAR($B$158)&lt;2027)*(EOMONTH($B$158,$B$13)&lt;=F$27)+$C$152*(YEAR($C$158)&lt;2027)*(EOMONTH($C$158,$B$13)&lt;=F$27)+$D$152*(YEAR($D$158)&lt;2027)*(EOMONTH($D$158,$B$13)&lt;=F$27)+$E$152*(YEAR($E$158)&lt;2027)*(EOMONTH($E$158,$B$13)&lt;=F$27))*(1-$B$12)/$B$9</f>
        <v>0</v>
      </c>
      <c r="G231" s="145" t="n">
        <f aca="false">($B$152*(YEAR($B$158)&lt;2027)*(EOMONTH($B$158,$B$13)&lt;=G$27)+$C$152*(YEAR($C$158)&lt;2027)*(EOMONTH($C$158,$B$13)&lt;=G$27)+$D$152*(YEAR($D$158)&lt;2027)*(EOMONTH($D$158,$B$13)&lt;=G$27)+$E$152*(YEAR($E$158)&lt;2027)*(EOMONTH($E$158,$B$13)&lt;=G$27))*(1-$B$12)/$B$9</f>
        <v>0</v>
      </c>
      <c r="H231" s="145" t="n">
        <f aca="false">($B$152*(YEAR($B$158)&lt;2027)*(EOMONTH($B$158,$B$13)&lt;=H$27)+$C$152*(YEAR($C$158)&lt;2027)*(EOMONTH($C$158,$B$13)&lt;=H$27)+$D$152*(YEAR($D$158)&lt;2027)*(EOMONTH($D$158,$B$13)&lt;=H$27)+$E$152*(YEAR($E$158)&lt;2027)*(EOMONTH($E$158,$B$13)&lt;=H$27))*(1-$B$12)/$B$9</f>
        <v>0</v>
      </c>
      <c r="I231" s="145" t="n">
        <f aca="false">($B$152*(YEAR($B$158)&lt;2027)*(EOMONTH($B$158,$B$13)&lt;=I$27)+$C$152*(YEAR($C$158)&lt;2027)*(EOMONTH($C$158,$B$13)&lt;=I$27)+$D$152*(YEAR($D$158)&lt;2027)*(EOMONTH($D$158,$B$13)&lt;=I$27)+$E$152*(YEAR($E$158)&lt;2027)*(EOMONTH($E$158,$B$13)&lt;=I$27))*(1-$B$12)/$B$9</f>
        <v>0</v>
      </c>
      <c r="J231" s="145" t="n">
        <f aca="false">($B$152*(YEAR($B$158)&lt;2027)*(EOMONTH($B$158,$B$13)&lt;=J$27)+$C$152*(YEAR($C$158)&lt;2027)*(EOMONTH($C$158,$B$13)&lt;=J$27)+$D$152*(YEAR($D$158)&lt;2027)*(EOMONTH($D$158,$B$13)&lt;=J$27)+$E$152*(YEAR($E$158)&lt;2027)*(EOMONTH($E$158,$B$13)&lt;=J$27))*(1-$B$12)/$B$9</f>
        <v>0</v>
      </c>
      <c r="K231" s="145" t="n">
        <f aca="false">($B$152*(YEAR($B$158)&lt;2027)*(EOMONTH($B$158,$B$13)&lt;=K$27)+$C$152*(YEAR($C$158)&lt;2027)*(EOMONTH($C$158,$B$13)&lt;=K$27)+$D$152*(YEAR($D$158)&lt;2027)*(EOMONTH($D$158,$B$13)&lt;=K$27)+$E$152*(YEAR($E$158)&lt;2027)*(EOMONTH($E$158,$B$13)&lt;=K$27))*(1-$B$12)/$B$9</f>
        <v>0</v>
      </c>
      <c r="L231" s="145" t="n">
        <f aca="false">($B$152*(YEAR($B$158)&lt;2027)*(EOMONTH($B$158,$B$13)&lt;=L$27)+$C$152*(YEAR($C$158)&lt;2027)*(EOMONTH($C$158,$B$13)&lt;=L$27)+$D$152*(YEAR($D$158)&lt;2027)*(EOMONTH($D$158,$B$13)&lt;=L$27)+$E$152*(YEAR($E$158)&lt;2027)*(EOMONTH($E$158,$B$13)&lt;=L$27))*(1-$B$12)/$B$9</f>
        <v>0</v>
      </c>
      <c r="M231" s="145" t="n">
        <f aca="false">($B$152*(YEAR($B$158)&lt;2027)*(EOMONTH($B$158,$B$13)&lt;=M$27)+$C$152*(YEAR($C$158)&lt;2027)*(EOMONTH($C$158,$B$13)&lt;=M$27)+$D$152*(YEAR($D$158)&lt;2027)*(EOMONTH($D$158,$B$13)&lt;=M$27)+$E$152*(YEAR($E$158)&lt;2027)*(EOMONTH($E$158,$B$13)&lt;=M$27))*(1-$B$12)/$B$9</f>
        <v>0</v>
      </c>
      <c r="N231" s="145" t="n">
        <f aca="false">($B$152*(YEAR($B$158)&lt;2027)*(EOMONTH($B$158,$B$13)&lt;=N$27)+$C$152*(YEAR($C$158)&lt;2027)*(EOMONTH($C$158,$B$13)&lt;=N$27)+$D$152*(YEAR($D$158)&lt;2027)*(EOMONTH($D$158,$B$13)&lt;=N$27)+$E$152*(YEAR($E$158)&lt;2027)*(EOMONTH($E$158,$B$13)&lt;=N$27))*(1-$B$12)/$B$9</f>
        <v>0</v>
      </c>
      <c r="O231" s="145" t="n">
        <f aca="false">($B$152*(YEAR($B$158)&lt;2027)*(EOMONTH($B$158,$B$13)&lt;=O$27)+$C$152*(YEAR($C$158)&lt;2027)*(EOMONTH($C$158,$B$13)&lt;=O$27)+$D$152*(YEAR($D$158)&lt;2027)*(EOMONTH($D$158,$B$13)&lt;=O$27)+$E$152*(YEAR($E$158)&lt;2027)*(EOMONTH($E$158,$B$13)&lt;=O$27))*(1-$B$12)/$B$9</f>
        <v>0</v>
      </c>
      <c r="P231" s="145" t="n">
        <f aca="false">($B$152*(YEAR($B$158)&lt;2027)*(EOMONTH($B$158,$B$13)&lt;=P$27)+$C$152*(YEAR($C$158)&lt;2027)*(EOMONTH($C$158,$B$13)&lt;=P$27)+$D$152*(YEAR($D$158)&lt;2027)*(EOMONTH($D$158,$B$13)&lt;=P$27)+$E$152*(YEAR($E$158)&lt;2027)*(EOMONTH($E$158,$B$13)&lt;=P$27))*(1-$B$12)/$B$9</f>
        <v>0</v>
      </c>
      <c r="Q231" s="145" t="n">
        <f aca="false">($B$152*(YEAR($B$158)&lt;2027)*(EOMONTH($B$158,$B$13)&lt;=Q$27)+$C$152*(YEAR($C$158)&lt;2027)*(EOMONTH($C$158,$B$13)&lt;=Q$27)+$D$152*(YEAR($D$158)&lt;2027)*(EOMONTH($D$158,$B$13)&lt;=Q$27)+$E$152*(YEAR($E$158)&lt;2027)*(EOMONTH($E$158,$B$13)&lt;=Q$27))*(1-$B$12)/$B$9</f>
        <v>0</v>
      </c>
      <c r="R231" s="145" t="n">
        <f aca="false">SUM(F231:Q231)</f>
        <v>0</v>
      </c>
      <c r="S231" s="3" t="s">
        <v>2615</v>
      </c>
    </row>
    <row r="232" customFormat="false" ht="15" hidden="false" customHeight="false" outlineLevel="0" collapsed="false">
      <c r="A232" s="3" t="s">
        <v>2616</v>
      </c>
      <c r="F232" s="145" t="n">
        <f aca="false">($B$154*(YEAR($B$158)&lt;2027)*(EOMONTH($B$158,$B$13)&lt;=F$27)+$C$154*(YEAR($C$158)&lt;2027)*(EOMONTH($C$158,$B$13)&lt;=F$27)+$D$154*(YEAR($D$158)&lt;2027)*(EOMONTH($D$158,$B$13)&lt;=F$27)+$E$154*(YEAR($E$158)&lt;2027)*(EOMONTH($E$158,$B$13)&lt;=F$27))*(1-$B$12)/$B$10</f>
        <v>0</v>
      </c>
      <c r="G232" s="145" t="n">
        <f aca="false">($B$154*(YEAR($B$158)&lt;2027)*(EOMONTH($B$158,$B$13)&lt;=G$27)+$C$154*(YEAR($C$158)&lt;2027)*(EOMONTH($C$158,$B$13)&lt;=G$27)+$D$154*(YEAR($D$158)&lt;2027)*(EOMONTH($D$158,$B$13)&lt;=G$27)+$E$154*(YEAR($E$158)&lt;2027)*(EOMONTH($E$158,$B$13)&lt;=G$27))*(1-$B$12)/$B$10</f>
        <v>0</v>
      </c>
      <c r="H232" s="145" t="n">
        <f aca="false">($B$154*(YEAR($B$158)&lt;2027)*(EOMONTH($B$158,$B$13)&lt;=H$27)+$C$154*(YEAR($C$158)&lt;2027)*(EOMONTH($C$158,$B$13)&lt;=H$27)+$D$154*(YEAR($D$158)&lt;2027)*(EOMONTH($D$158,$B$13)&lt;=H$27)+$E$154*(YEAR($E$158)&lt;2027)*(EOMONTH($E$158,$B$13)&lt;=H$27))*(1-$B$12)/$B$10</f>
        <v>0</v>
      </c>
      <c r="I232" s="145" t="n">
        <f aca="false">($B$154*(YEAR($B$158)&lt;2027)*(EOMONTH($B$158,$B$13)&lt;=I$27)+$C$154*(YEAR($C$158)&lt;2027)*(EOMONTH($C$158,$B$13)&lt;=I$27)+$D$154*(YEAR($D$158)&lt;2027)*(EOMONTH($D$158,$B$13)&lt;=I$27)+$E$154*(YEAR($E$158)&lt;2027)*(EOMONTH($E$158,$B$13)&lt;=I$27))*(1-$B$12)/$B$10</f>
        <v>0</v>
      </c>
      <c r="J232" s="145" t="n">
        <f aca="false">($B$154*(YEAR($B$158)&lt;2027)*(EOMONTH($B$158,$B$13)&lt;=J$27)+$C$154*(YEAR($C$158)&lt;2027)*(EOMONTH($C$158,$B$13)&lt;=J$27)+$D$154*(YEAR($D$158)&lt;2027)*(EOMONTH($D$158,$B$13)&lt;=J$27)+$E$154*(YEAR($E$158)&lt;2027)*(EOMONTH($E$158,$B$13)&lt;=J$27))*(1-$B$12)/$B$10</f>
        <v>0</v>
      </c>
      <c r="K232" s="145" t="n">
        <f aca="false">($B$154*(YEAR($B$158)&lt;2027)*(EOMONTH($B$158,$B$13)&lt;=K$27)+$C$154*(YEAR($C$158)&lt;2027)*(EOMONTH($C$158,$B$13)&lt;=K$27)+$D$154*(YEAR($D$158)&lt;2027)*(EOMONTH($D$158,$B$13)&lt;=K$27)+$E$154*(YEAR($E$158)&lt;2027)*(EOMONTH($E$158,$B$13)&lt;=K$27))*(1-$B$12)/$B$10</f>
        <v>0</v>
      </c>
      <c r="L232" s="145" t="n">
        <f aca="false">($B$154*(YEAR($B$158)&lt;2027)*(EOMONTH($B$158,$B$13)&lt;=L$27)+$C$154*(YEAR($C$158)&lt;2027)*(EOMONTH($C$158,$B$13)&lt;=L$27)+$D$154*(YEAR($D$158)&lt;2027)*(EOMONTH($D$158,$B$13)&lt;=L$27)+$E$154*(YEAR($E$158)&lt;2027)*(EOMONTH($E$158,$B$13)&lt;=L$27))*(1-$B$12)/$B$10</f>
        <v>0</v>
      </c>
      <c r="M232" s="145" t="n">
        <f aca="false">($B$154*(YEAR($B$158)&lt;2027)*(EOMONTH($B$158,$B$13)&lt;=M$27)+$C$154*(YEAR($C$158)&lt;2027)*(EOMONTH($C$158,$B$13)&lt;=M$27)+$D$154*(YEAR($D$158)&lt;2027)*(EOMONTH($D$158,$B$13)&lt;=M$27)+$E$154*(YEAR($E$158)&lt;2027)*(EOMONTH($E$158,$B$13)&lt;=M$27))*(1-$B$12)/$B$10</f>
        <v>0</v>
      </c>
      <c r="N232" s="145" t="n">
        <f aca="false">($B$154*(YEAR($B$158)&lt;2027)*(EOMONTH($B$158,$B$13)&lt;=N$27)+$C$154*(YEAR($C$158)&lt;2027)*(EOMONTH($C$158,$B$13)&lt;=N$27)+$D$154*(YEAR($D$158)&lt;2027)*(EOMONTH($D$158,$B$13)&lt;=N$27)+$E$154*(YEAR($E$158)&lt;2027)*(EOMONTH($E$158,$B$13)&lt;=N$27))*(1-$B$12)/$B$10</f>
        <v>0</v>
      </c>
      <c r="O232" s="145" t="n">
        <f aca="false">($B$154*(YEAR($B$158)&lt;2027)*(EOMONTH($B$158,$B$13)&lt;=O$27)+$C$154*(YEAR($C$158)&lt;2027)*(EOMONTH($C$158,$B$13)&lt;=O$27)+$D$154*(YEAR($D$158)&lt;2027)*(EOMONTH($D$158,$B$13)&lt;=O$27)+$E$154*(YEAR($E$158)&lt;2027)*(EOMONTH($E$158,$B$13)&lt;=O$27))*(1-$B$12)/$B$10</f>
        <v>0</v>
      </c>
      <c r="P232" s="145" t="n">
        <f aca="false">($B$154*(YEAR($B$158)&lt;2027)*(EOMONTH($B$158,$B$13)&lt;=P$27)+$C$154*(YEAR($C$158)&lt;2027)*(EOMONTH($C$158,$B$13)&lt;=P$27)+$D$154*(YEAR($D$158)&lt;2027)*(EOMONTH($D$158,$B$13)&lt;=P$27)+$E$154*(YEAR($E$158)&lt;2027)*(EOMONTH($E$158,$B$13)&lt;=P$27))*(1-$B$12)/$B$10</f>
        <v>0</v>
      </c>
      <c r="Q232" s="145" t="n">
        <f aca="false">($B$154*(YEAR($B$158)&lt;2027)*(EOMONTH($B$158,$B$13)&lt;=Q$27)+$C$154*(YEAR($C$158)&lt;2027)*(EOMONTH($C$158,$B$13)&lt;=Q$27)+$D$154*(YEAR($D$158)&lt;2027)*(EOMONTH($D$158,$B$13)&lt;=Q$27)+$E$154*(YEAR($E$158)&lt;2027)*(EOMONTH($E$158,$B$13)&lt;=Q$27))*(1-$B$12)/$B$10</f>
        <v>0</v>
      </c>
      <c r="R232" s="145" t="n">
        <f aca="false">SUM(F232:Q232)</f>
        <v>0</v>
      </c>
    </row>
    <row r="233" customFormat="false" ht="15" hidden="false" customHeight="false" outlineLevel="0" collapsed="false">
      <c r="A233" s="138" t="s">
        <v>2617</v>
      </c>
      <c r="F233" s="145" t="n">
        <f aca="false">F231+F232</f>
        <v>0</v>
      </c>
      <c r="G233" s="145" t="n">
        <f aca="false">G231+G232</f>
        <v>0</v>
      </c>
      <c r="H233" s="145" t="n">
        <f aca="false">H231+H232</f>
        <v>0</v>
      </c>
      <c r="I233" s="145" t="n">
        <f aca="false">I231+I232</f>
        <v>0</v>
      </c>
      <c r="J233" s="145" t="n">
        <f aca="false">J231+J232</f>
        <v>0</v>
      </c>
      <c r="K233" s="145" t="n">
        <f aca="false">K231+K232</f>
        <v>0</v>
      </c>
      <c r="L233" s="145" t="n">
        <f aca="false">L231+L232</f>
        <v>0</v>
      </c>
      <c r="M233" s="145" t="n">
        <f aca="false">M231+M232</f>
        <v>0</v>
      </c>
      <c r="N233" s="145" t="n">
        <f aca="false">N231+N232</f>
        <v>0</v>
      </c>
      <c r="O233" s="145" t="n">
        <f aca="false">O231+O232</f>
        <v>0</v>
      </c>
      <c r="P233" s="145" t="n">
        <f aca="false">P231+P232</f>
        <v>0</v>
      </c>
      <c r="Q233" s="145" t="n">
        <f aca="false">Q231+Q232</f>
        <v>0</v>
      </c>
      <c r="R233" s="145" t="n">
        <f aca="false">SUM(F233:Q233)</f>
        <v>0</v>
      </c>
    </row>
    <row r="235" customFormat="false" ht="15" hidden="false" customHeight="false" outlineLevel="0" collapsed="false">
      <c r="A235" s="2" t="s">
        <v>2618</v>
      </c>
      <c r="B235" s="2" t="s">
        <v>305</v>
      </c>
    </row>
    <row r="236" customFormat="false" ht="15" hidden="false" customHeight="false" outlineLevel="0" collapsed="false">
      <c r="A236" s="3" t="s">
        <v>2619</v>
      </c>
      <c r="B236" s="145" t="n">
        <f aca="false">R149-R223</f>
        <v>2592893.90102852</v>
      </c>
    </row>
    <row r="237" customFormat="false" ht="15" hidden="false" customHeight="false" outlineLevel="0" collapsed="false">
      <c r="A237" s="3" t="s">
        <v>2620</v>
      </c>
      <c r="B237" s="145" t="n">
        <f aca="false">SUM(B149:E149)-SUM(B221:E222)</f>
        <v>0</v>
      </c>
    </row>
    <row r="238" customFormat="false" ht="15" hidden="false" customHeight="false" outlineLevel="0" collapsed="false">
      <c r="A238" s="3" t="s">
        <v>2621</v>
      </c>
      <c r="B238" s="145" t="n">
        <f aca="false">B213</f>
        <v>1837906.04230319</v>
      </c>
    </row>
    <row r="239" customFormat="false" ht="15" hidden="false" customHeight="false" outlineLevel="0" collapsed="false">
      <c r="A239" s="3" t="s">
        <v>2622</v>
      </c>
      <c r="B239" s="145" t="n">
        <f aca="false">B204+B205</f>
        <v>650571.18006802</v>
      </c>
    </row>
    <row r="240" customFormat="false" ht="15" hidden="false" customHeight="false" outlineLevel="0" collapsed="false">
      <c r="A240" s="3" t="s">
        <v>2623</v>
      </c>
      <c r="B240" s="145" t="n">
        <f aca="false">R223</f>
        <v>0</v>
      </c>
    </row>
    <row r="241" customFormat="false" ht="15" hidden="false" customHeight="false" outlineLevel="0" collapsed="false">
      <c r="A241" s="3" t="s">
        <v>2624</v>
      </c>
      <c r="B241" s="145"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3" width="52"/>
    <col collapsed="false" customWidth="true" hidden="false" outlineLevel="0" max="9" min="2" style="3" width="12.5"/>
    <col collapsed="false" customWidth="true" hidden="false" outlineLevel="0" max="10" min="10" style="3" width="13.13"/>
    <col collapsed="false" customWidth="true" hidden="false" outlineLevel="0" max="11" min="11" style="3" width="13.38"/>
    <col collapsed="false" customWidth="true" hidden="false" outlineLevel="0" max="19" min="12" style="3" width="12.5"/>
    <col collapsed="false" customWidth="true" hidden="false" outlineLevel="0" max="20" min="20" style="3" width="22"/>
    <col collapsed="false" customWidth="true" hidden="false" outlineLevel="0" max="26" min="21" style="3" width="8.63"/>
  </cols>
  <sheetData>
    <row r="1" customFormat="false" ht="14.25" hidden="false" customHeight="true" outlineLevel="0" collapsed="false">
      <c r="A1" s="150" t="s">
        <v>2625</v>
      </c>
    </row>
    <row r="2" customFormat="false" ht="14.25" hidden="false" customHeight="true" outlineLevel="0" collapsed="false">
      <c r="A2" s="78" t="s">
        <v>2626</v>
      </c>
    </row>
    <row r="3" customFormat="false" ht="14.25" hidden="false" customHeight="true" outlineLevel="0" collapsed="false"/>
    <row r="4" customFormat="false" ht="14.25" hidden="false" customHeight="true" outlineLevel="0" collapsed="false">
      <c r="A4" s="151" t="s">
        <v>2627</v>
      </c>
      <c r="B4" s="152" t="s">
        <v>2628</v>
      </c>
      <c r="C4" s="152"/>
      <c r="D4" s="152"/>
      <c r="E4" s="153" t="s">
        <v>2629</v>
      </c>
      <c r="F4" s="153"/>
      <c r="G4" s="153"/>
      <c r="H4" s="153"/>
      <c r="J4" s="153" t="s">
        <v>2630</v>
      </c>
      <c r="K4" s="153"/>
      <c r="L4" s="153"/>
      <c r="M4" s="153"/>
    </row>
    <row r="5" customFormat="false" ht="14.25" hidden="false" customHeight="true" outlineLevel="0" collapsed="false">
      <c r="A5" s="3" t="s">
        <v>2631</v>
      </c>
      <c r="B5" s="154" t="n">
        <v>1</v>
      </c>
      <c r="E5" s="3" t="s">
        <v>2632</v>
      </c>
      <c r="H5" s="155" t="n">
        <v>90000</v>
      </c>
      <c r="J5" s="3" t="s">
        <v>2633</v>
      </c>
      <c r="M5" s="156" t="n">
        <f aca="false">'Prod Payroll'!M5</f>
        <v>0.03</v>
      </c>
    </row>
    <row r="6" customFormat="false" ht="14.25" hidden="false" customHeight="true" outlineLevel="0" collapsed="false">
      <c r="A6" s="3" t="s">
        <v>2634</v>
      </c>
      <c r="B6" s="155" t="n">
        <v>63000</v>
      </c>
      <c r="E6" s="3" t="s">
        <v>2635</v>
      </c>
      <c r="H6" s="157" t="n">
        <v>0.068</v>
      </c>
      <c r="J6" s="3" t="s">
        <v>2636</v>
      </c>
      <c r="M6" s="158" t="n">
        <f aca="false">'Prod Payroll'!M6</f>
        <v>46661</v>
      </c>
    </row>
    <row r="7" customFormat="false" ht="14.25" hidden="false" customHeight="true" outlineLevel="0" collapsed="false">
      <c r="A7" s="3" t="s">
        <v>2635</v>
      </c>
      <c r="B7" s="157" t="n">
        <v>0.068</v>
      </c>
      <c r="E7" s="3" t="s">
        <v>2637</v>
      </c>
      <c r="H7" s="157" t="n">
        <v>0.164</v>
      </c>
      <c r="J7" s="3" t="s">
        <v>2638</v>
      </c>
      <c r="M7" s="159" t="n">
        <f aca="false">'Prod Payroll'!M9</f>
        <v>6</v>
      </c>
    </row>
    <row r="8" customFormat="false" ht="14.25" hidden="false" customHeight="true" outlineLevel="0" collapsed="false">
      <c r="A8" s="3" t="s">
        <v>2637</v>
      </c>
      <c r="B8" s="157" t="n">
        <v>0.164</v>
      </c>
      <c r="E8" s="3" t="s">
        <v>2639</v>
      </c>
      <c r="H8" s="160" t="n">
        <v>20</v>
      </c>
      <c r="J8" s="161" t="s">
        <v>2640</v>
      </c>
    </row>
    <row r="9" customFormat="false" ht="14.25" hidden="false" customHeight="true" outlineLevel="0" collapsed="false">
      <c r="A9" s="3" t="s">
        <v>2641</v>
      </c>
      <c r="B9" s="155" t="n">
        <v>2000</v>
      </c>
      <c r="E9" s="3" t="s">
        <v>2642</v>
      </c>
      <c r="H9" s="162" t="n">
        <v>1</v>
      </c>
    </row>
    <row r="10" customFormat="false" ht="14.25" hidden="false" customHeight="true" outlineLevel="0" collapsed="false">
      <c r="A10" s="3" t="s">
        <v>2643</v>
      </c>
      <c r="B10" s="160" t="n">
        <v>1</v>
      </c>
      <c r="E10" s="3" t="s">
        <v>2644</v>
      </c>
      <c r="H10" s="155" t="n">
        <v>2000</v>
      </c>
      <c r="J10" s="153" t="s">
        <v>2645</v>
      </c>
      <c r="K10" s="153"/>
      <c r="L10" s="153"/>
      <c r="M10" s="153"/>
    </row>
    <row r="11" customFormat="false" ht="14.25" hidden="false" customHeight="true" outlineLevel="0" collapsed="false">
      <c r="A11" s="3" t="s">
        <v>2646</v>
      </c>
      <c r="B11" s="160" t="n">
        <v>14</v>
      </c>
      <c r="E11" s="3" t="s">
        <v>2647</v>
      </c>
      <c r="H11" s="160" t="n">
        <v>1</v>
      </c>
      <c r="J11" s="3" t="s">
        <v>2648</v>
      </c>
      <c r="M11" s="160" t="n">
        <v>40</v>
      </c>
    </row>
    <row r="12" customFormat="false" ht="14.25" hidden="false" customHeight="true" outlineLevel="0" collapsed="false">
      <c r="A12" s="3" t="s">
        <v>2649</v>
      </c>
      <c r="B12" s="163" t="n">
        <v>0.6</v>
      </c>
      <c r="E12" s="3" t="s">
        <v>2650</v>
      </c>
      <c r="H12" s="164"/>
      <c r="J12" s="3" t="s">
        <v>2651</v>
      </c>
      <c r="M12" s="160" t="n">
        <v>0</v>
      </c>
    </row>
    <row r="13" customFormat="false" ht="14.25" hidden="false" customHeight="true" outlineLevel="0" collapsed="false">
      <c r="A13" s="78" t="s">
        <v>2652</v>
      </c>
      <c r="J13" s="3" t="s">
        <v>2653</v>
      </c>
      <c r="M13" s="160" t="n">
        <v>0</v>
      </c>
    </row>
    <row r="14" customFormat="false" ht="14.25" hidden="false" customHeight="true" outlineLevel="0" collapsed="false">
      <c r="A14" s="151" t="s">
        <v>2654</v>
      </c>
      <c r="B14" s="152" t="s">
        <v>2655</v>
      </c>
      <c r="C14" s="152"/>
      <c r="E14" s="153" t="s">
        <v>2656</v>
      </c>
      <c r="F14" s="153"/>
      <c r="G14" s="153"/>
      <c r="H14" s="153"/>
      <c r="J14" s="3" t="s">
        <v>2657</v>
      </c>
      <c r="M14" s="165" t="s">
        <v>2658</v>
      </c>
    </row>
    <row r="15" customFormat="false" ht="14.25" hidden="false" customHeight="true" outlineLevel="0" collapsed="false">
      <c r="A15" s="3" t="s">
        <v>2659</v>
      </c>
      <c r="B15" s="166" t="n">
        <f aca="false">ROUND(AVERAGE(DeploySum!O54:Q54),0)</f>
        <v>7</v>
      </c>
      <c r="E15" s="3" t="s">
        <v>2660</v>
      </c>
      <c r="H15" s="155" t="n">
        <v>76515</v>
      </c>
    </row>
    <row r="16" customFormat="false" ht="14.25" hidden="false" customHeight="true" outlineLevel="0" collapsed="false">
      <c r="A16" s="3" t="s">
        <v>2661</v>
      </c>
      <c r="B16" s="166" t="n">
        <f aca="false">ROUND(AVERAGE(DeploySum!O57:Q57),0)</f>
        <v>2</v>
      </c>
      <c r="E16" s="3" t="s">
        <v>2662</v>
      </c>
      <c r="H16" s="155"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7" t="s">
        <v>2663</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2664</v>
      </c>
      <c r="S19" s="80" t="s">
        <v>2325</v>
      </c>
    </row>
    <row r="20" customFormat="false" ht="14.25" hidden="false" customHeight="true" outlineLevel="0" collapsed="false">
      <c r="A20" s="3" t="s">
        <v>2665</v>
      </c>
      <c r="B20" s="168" t="n">
        <f aca="false">$B$11</f>
        <v>14</v>
      </c>
      <c r="C20" s="168" t="n">
        <f aca="false">$B$11</f>
        <v>14</v>
      </c>
      <c r="D20" s="168" t="n">
        <f aca="false">$B$11</f>
        <v>14</v>
      </c>
      <c r="E20" s="168" t="n">
        <f aca="false">$B$11</f>
        <v>14</v>
      </c>
      <c r="F20" s="168" t="n">
        <f aca="false">$B$11</f>
        <v>14</v>
      </c>
      <c r="G20" s="168" t="n">
        <f aca="false">$B$11</f>
        <v>14</v>
      </c>
      <c r="H20" s="168" t="n">
        <f aca="false">$B$11</f>
        <v>14</v>
      </c>
      <c r="I20" s="168" t="n">
        <f aca="false">$B$11</f>
        <v>14</v>
      </c>
      <c r="J20" s="168" t="n">
        <f aca="false">$B$11</f>
        <v>14</v>
      </c>
      <c r="K20" s="168" t="n">
        <f aca="false">$B$11</f>
        <v>14</v>
      </c>
      <c r="L20" s="168" t="n">
        <f aca="false">$B$11</f>
        <v>14</v>
      </c>
      <c r="M20" s="168" t="n">
        <f aca="false">$B$11</f>
        <v>14</v>
      </c>
      <c r="N20" s="168" t="n">
        <f aca="false">$B$11</f>
        <v>14</v>
      </c>
      <c r="O20" s="168" t="n">
        <f aca="false">$B$11</f>
        <v>14</v>
      </c>
      <c r="P20" s="168" t="n">
        <f aca="false">$B$11</f>
        <v>14</v>
      </c>
      <c r="Q20" s="168" t="n">
        <f aca="false">$B$11</f>
        <v>14</v>
      </c>
      <c r="R20" s="169" t="n">
        <f aca="false">AVERAGE(B20:E20)</f>
        <v>14</v>
      </c>
      <c r="S20" s="169" t="n">
        <f aca="false">AVERAGE(F20:Q20)</f>
        <v>14</v>
      </c>
      <c r="T20" s="78"/>
    </row>
    <row r="21" customFormat="false" ht="14.25" hidden="false" customHeight="true" outlineLevel="0" collapsed="false">
      <c r="A21" s="3" t="s">
        <v>2666</v>
      </c>
      <c r="B21" s="170" t="n">
        <f aca="false">B20*$B$6/12+IF(B$19&gt;=$M$6,MIN(B20,INDEX($B20:$Q20,IFERROR(MATCH(EOMONTH($M$6,-$M$7-1),$B$19:$Q$19,0),1)))*$B$6/12*$M$5,0)</f>
        <v>73500</v>
      </c>
      <c r="C21" s="170" t="n">
        <f aca="false">C20*$B$6/12+IF(C$19&gt;=$M$6,MIN(C20,INDEX($B20:$Q20,IFERROR(MATCH(EOMONTH($M$6,-$M$7-1),$B$19:$Q$19,0),1)))*$B$6/12*$M$5,0)</f>
        <v>73500</v>
      </c>
      <c r="D21" s="170" t="n">
        <f aca="false">D20*$B$6/12+IF(D$19&gt;=$M$6,MIN(D20,INDEX($B20:$Q20,IFERROR(MATCH(EOMONTH($M$6,-$M$7-1),$B$19:$Q$19,0),1)))*$B$6/12*$M$5,0)</f>
        <v>73500</v>
      </c>
      <c r="E21" s="170" t="n">
        <f aca="false">E20*$B$6/12+IF(E$19&gt;=$M$6,MIN(E20,INDEX($B20:$Q20,IFERROR(MATCH(EOMONTH($M$6,-$M$7-1),$B$19:$Q$19,0),1)))*$B$6/12*$M$5,0)</f>
        <v>73500</v>
      </c>
      <c r="F21" s="170" t="n">
        <f aca="false">F20*$B$6/12+IF(F$19&gt;=$M$6,MIN(F20,INDEX($B20:$Q20,IFERROR(MATCH(EOMONTH($M$6,-$M$7-1),$B$19:$Q$19,0),1)))*$B$6/12*$M$5,0)</f>
        <v>73500</v>
      </c>
      <c r="G21" s="170" t="n">
        <f aca="false">G20*$B$6/12+IF(G$19&gt;=$M$6,MIN(G20,INDEX($B20:$Q20,IFERROR(MATCH(EOMONTH($M$6,-$M$7-1),$B$19:$Q$19,0),1)))*$B$6/12*$M$5,0)</f>
        <v>73500</v>
      </c>
      <c r="H21" s="170" t="n">
        <f aca="false">H20*$B$6/12+IF(H$19&gt;=$M$6,MIN(H20,INDEX($B20:$Q20,IFERROR(MATCH(EOMONTH($M$6,-$M$7-1),$B$19:$Q$19,0),1)))*$B$6/12*$M$5,0)</f>
        <v>73500</v>
      </c>
      <c r="I21" s="170" t="n">
        <f aca="false">I20*$B$6/12+IF(I$19&gt;=$M$6,MIN(I20,INDEX($B20:$Q20,IFERROR(MATCH(EOMONTH($M$6,-$M$7-1),$B$19:$Q$19,0),1)))*$B$6/12*$M$5,0)</f>
        <v>73500</v>
      </c>
      <c r="J21" s="170" t="n">
        <f aca="false">J20*$B$6/12+IF(J$19&gt;=$M$6,MIN(J20,INDEX($B20:$Q20,IFERROR(MATCH(EOMONTH($M$6,-$M$7-1),$B$19:$Q$19,0),1)))*$B$6/12*$M$5,0)</f>
        <v>73500</v>
      </c>
      <c r="K21" s="170" t="n">
        <f aca="false">K20*$B$6/12+IF(K$19&gt;=$M$6,MIN(K20,INDEX($B20:$Q20,IFERROR(MATCH(EOMONTH($M$6,-$M$7-1),$B$19:$Q$19,0),1)))*$B$6/12*$M$5,0)</f>
        <v>73500</v>
      </c>
      <c r="L21" s="170" t="n">
        <f aca="false">L20*$B$6/12+IF(L$19&gt;=$M$6,MIN(L20,INDEX($B20:$Q20,IFERROR(MATCH(EOMONTH($M$6,-$M$7-1),$B$19:$Q$19,0),1)))*$B$6/12*$M$5,0)</f>
        <v>73500</v>
      </c>
      <c r="M21" s="170" t="n">
        <f aca="false">M20*$B$6/12+IF(M$19&gt;=$M$6,MIN(M20,INDEX($B20:$Q20,IFERROR(MATCH(EOMONTH($M$6,-$M$7-1),$B$19:$Q$19,0),1)))*$B$6/12*$M$5,0)</f>
        <v>73500</v>
      </c>
      <c r="N21" s="170" t="n">
        <f aca="false">N20*$B$6/12+IF(N$19&gt;=$M$6,MIN(N20,INDEX($B20:$Q20,IFERROR(MATCH(EOMONTH($M$6,-$M$7-1),$B$19:$Q$19,0),1)))*$B$6/12*$M$5,0)</f>
        <v>73500</v>
      </c>
      <c r="O21" s="170" t="n">
        <f aca="false">O20*$B$6/12+IF(O$19&gt;=$M$6,MIN(O20,INDEX($B20:$Q20,IFERROR(MATCH(EOMONTH($M$6,-$M$7-1),$B$19:$Q$19,0),1)))*$B$6/12*$M$5,0)</f>
        <v>75705</v>
      </c>
      <c r="P21" s="170" t="n">
        <f aca="false">P20*$B$6/12+IF(P$19&gt;=$M$6,MIN(P20,INDEX($B20:$Q20,IFERROR(MATCH(EOMONTH($M$6,-$M$7-1),$B$19:$Q$19,0),1)))*$B$6/12*$M$5,0)</f>
        <v>75705</v>
      </c>
      <c r="Q21" s="170" t="n">
        <f aca="false">Q20*$B$6/12+IF(Q$19&gt;=$M$6,MIN(Q20,INDEX($B20:$Q20,IFERROR(MATCH(EOMONTH($M$6,-$M$7-1),$B$19:$Q$19,0),1)))*$B$6/12*$M$5,0)</f>
        <v>75705</v>
      </c>
      <c r="R21" s="171" t="n">
        <f aca="false">SUM(B21:E21)</f>
        <v>294000</v>
      </c>
      <c r="S21" s="171" t="n">
        <f aca="false">SUM(F21:Q21)</f>
        <v>888615</v>
      </c>
    </row>
    <row r="22" customFormat="false" ht="14.25" hidden="false" customHeight="true" outlineLevel="0" collapsed="false">
      <c r="A22" s="3" t="s">
        <v>2667</v>
      </c>
      <c r="B22" s="170" t="n">
        <f aca="false">B21*$B$7</f>
        <v>4998</v>
      </c>
      <c r="C22" s="170" t="n">
        <f aca="false">C21*$B$7</f>
        <v>4998</v>
      </c>
      <c r="D22" s="170" t="n">
        <f aca="false">D21*$B$7</f>
        <v>4998</v>
      </c>
      <c r="E22" s="170" t="n">
        <f aca="false">E21*$B$7</f>
        <v>4998</v>
      </c>
      <c r="F22" s="170" t="n">
        <f aca="false">F21*$B$7</f>
        <v>4998</v>
      </c>
      <c r="G22" s="170" t="n">
        <f aca="false">G21*$B$7</f>
        <v>4998</v>
      </c>
      <c r="H22" s="170" t="n">
        <f aca="false">H21*$B$7</f>
        <v>4998</v>
      </c>
      <c r="I22" s="170" t="n">
        <f aca="false">I21*$B$7</f>
        <v>4998</v>
      </c>
      <c r="J22" s="170" t="n">
        <f aca="false">J21*$B$7</f>
        <v>4998</v>
      </c>
      <c r="K22" s="170" t="n">
        <f aca="false">K21*$B$7</f>
        <v>4998</v>
      </c>
      <c r="L22" s="170" t="n">
        <f aca="false">L21*$B$7</f>
        <v>4998</v>
      </c>
      <c r="M22" s="170" t="n">
        <f aca="false">M21*$B$7</f>
        <v>4998</v>
      </c>
      <c r="N22" s="170" t="n">
        <f aca="false">N21*$B$7</f>
        <v>4998</v>
      </c>
      <c r="O22" s="170" t="n">
        <f aca="false">O21*$B$7</f>
        <v>5147.94</v>
      </c>
      <c r="P22" s="170" t="n">
        <f aca="false">P21*$B$7</f>
        <v>5147.94</v>
      </c>
      <c r="Q22" s="170" t="n">
        <f aca="false">Q21*$B$7</f>
        <v>5147.94</v>
      </c>
      <c r="R22" s="171" t="n">
        <f aca="false">SUM(B22:E22)</f>
        <v>19992</v>
      </c>
      <c r="S22" s="171" t="n">
        <f aca="false">SUM(F22:Q22)</f>
        <v>60425.82</v>
      </c>
    </row>
    <row r="23" customFormat="false" ht="14.25" hidden="false" customHeight="true" outlineLevel="0" collapsed="false">
      <c r="A23" s="3" t="s">
        <v>2289</v>
      </c>
      <c r="B23" s="170" t="n">
        <f aca="false">B21*$B$8</f>
        <v>12054</v>
      </c>
      <c r="C23" s="170" t="n">
        <f aca="false">C21*$B$8</f>
        <v>12054</v>
      </c>
      <c r="D23" s="170" t="n">
        <f aca="false">D21*$B$8</f>
        <v>12054</v>
      </c>
      <c r="E23" s="170" t="n">
        <f aca="false">E21*$B$8</f>
        <v>12054</v>
      </c>
      <c r="F23" s="170" t="n">
        <f aca="false">F21*$B$8</f>
        <v>12054</v>
      </c>
      <c r="G23" s="170" t="n">
        <f aca="false">G21*$B$8</f>
        <v>12054</v>
      </c>
      <c r="H23" s="170" t="n">
        <f aca="false">H21*$B$8</f>
        <v>12054</v>
      </c>
      <c r="I23" s="170" t="n">
        <f aca="false">I21*$B$8</f>
        <v>12054</v>
      </c>
      <c r="J23" s="170" t="n">
        <f aca="false">J21*$B$8</f>
        <v>12054</v>
      </c>
      <c r="K23" s="170" t="n">
        <f aca="false">K21*$B$8</f>
        <v>12054</v>
      </c>
      <c r="L23" s="170" t="n">
        <f aca="false">L21*$B$8</f>
        <v>12054</v>
      </c>
      <c r="M23" s="170" t="n">
        <f aca="false">M21*$B$8</f>
        <v>12054</v>
      </c>
      <c r="N23" s="170" t="n">
        <f aca="false">N21*$B$8</f>
        <v>12054</v>
      </c>
      <c r="O23" s="170" t="n">
        <f aca="false">O21*$B$8</f>
        <v>12415.62</v>
      </c>
      <c r="P23" s="170" t="n">
        <f aca="false">P21*$B$8</f>
        <v>12415.62</v>
      </c>
      <c r="Q23" s="170" t="n">
        <f aca="false">Q21*$B$8</f>
        <v>12415.62</v>
      </c>
      <c r="R23" s="171" t="n">
        <f aca="false">SUM(B23:E23)</f>
        <v>48216</v>
      </c>
      <c r="S23" s="171" t="n">
        <f aca="false">SUM(F23:Q23)</f>
        <v>145732.86</v>
      </c>
    </row>
    <row r="24" customFormat="false" ht="14.25" hidden="false" customHeight="true" outlineLevel="0" collapsed="false">
      <c r="A24" s="172" t="s">
        <v>2668</v>
      </c>
      <c r="B24" s="173" t="n">
        <f aca="false">SUM(B21:B23)</f>
        <v>90552</v>
      </c>
      <c r="C24" s="173" t="n">
        <f aca="false">SUM(C21:C23)</f>
        <v>90552</v>
      </c>
      <c r="D24" s="173" t="n">
        <f aca="false">SUM(D21:D23)</f>
        <v>90552</v>
      </c>
      <c r="E24" s="173" t="n">
        <f aca="false">SUM(E21:E23)</f>
        <v>90552</v>
      </c>
      <c r="F24" s="173" t="n">
        <f aca="false">SUM(F21:F23)</f>
        <v>90552</v>
      </c>
      <c r="G24" s="173" t="n">
        <f aca="false">SUM(G21:G23)</f>
        <v>90552</v>
      </c>
      <c r="H24" s="173" t="n">
        <f aca="false">SUM(H21:H23)</f>
        <v>90552</v>
      </c>
      <c r="I24" s="173" t="n">
        <f aca="false">SUM(I21:I23)</f>
        <v>90552</v>
      </c>
      <c r="J24" s="173" t="n">
        <f aca="false">SUM(J21:J23)</f>
        <v>90552</v>
      </c>
      <c r="K24" s="173" t="n">
        <f aca="false">SUM(K21:K23)</f>
        <v>90552</v>
      </c>
      <c r="L24" s="173" t="n">
        <f aca="false">SUM(L21:L23)</f>
        <v>90552</v>
      </c>
      <c r="M24" s="173" t="n">
        <f aca="false">SUM(M21:M23)</f>
        <v>90552</v>
      </c>
      <c r="N24" s="173" t="n">
        <f aca="false">SUM(N21:N23)</f>
        <v>90552</v>
      </c>
      <c r="O24" s="173" t="n">
        <f aca="false">SUM(O21:O23)</f>
        <v>93268.56</v>
      </c>
      <c r="P24" s="173" t="n">
        <f aca="false">SUM(P21:P23)</f>
        <v>93268.56</v>
      </c>
      <c r="Q24" s="173" t="n">
        <f aca="false">SUM(Q21:Q23)</f>
        <v>93268.56</v>
      </c>
      <c r="R24" s="174" t="n">
        <f aca="false">SUM(B24:E24)</f>
        <v>362208</v>
      </c>
      <c r="S24" s="174" t="n">
        <f aca="false">SUM(F24:Q24)</f>
        <v>1094773.68</v>
      </c>
    </row>
    <row r="25" customFormat="false" ht="14.25" hidden="false" customHeight="true" outlineLevel="0" collapsed="false"/>
    <row r="26" customFormat="false" ht="14.25" hidden="false" customHeight="true" outlineLevel="0" collapsed="false">
      <c r="A26" s="167" t="s">
        <v>2669</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2664</v>
      </c>
      <c r="S26" s="80" t="s">
        <v>2325</v>
      </c>
    </row>
    <row r="27" customFormat="false" ht="14.25" hidden="false" customHeight="true" outlineLevel="0" collapsed="false">
      <c r="A27" s="175" t="s">
        <v>2670</v>
      </c>
      <c r="B27" s="176" t="n">
        <f aca="false">COLUMNS($B27:B27)</f>
        <v>1</v>
      </c>
      <c r="C27" s="176" t="n">
        <f aca="false">COLUMNS($B27:C27)</f>
        <v>2</v>
      </c>
      <c r="D27" s="176" t="n">
        <f aca="false">COLUMNS($B27:D27)</f>
        <v>3</v>
      </c>
      <c r="E27" s="176" t="n">
        <f aca="false">COLUMNS($B27:E27)</f>
        <v>4</v>
      </c>
      <c r="F27" s="176" t="n">
        <f aca="false">COLUMNS($B27:F27)</f>
        <v>5</v>
      </c>
      <c r="G27" s="176" t="n">
        <f aca="false">COLUMNS($B27:G27)</f>
        <v>6</v>
      </c>
      <c r="H27" s="176" t="n">
        <f aca="false">COLUMNS($B27:H27)</f>
        <v>7</v>
      </c>
      <c r="I27" s="176" t="n">
        <f aca="false">COLUMNS($B27:I27)</f>
        <v>8</v>
      </c>
      <c r="J27" s="176" t="n">
        <f aca="false">COLUMNS($B27:J27)</f>
        <v>9</v>
      </c>
      <c r="K27" s="176" t="n">
        <f aca="false">COLUMNS($B27:K27)</f>
        <v>10</v>
      </c>
      <c r="L27" s="176" t="n">
        <f aca="false">COLUMNS($B27:L27)</f>
        <v>11</v>
      </c>
      <c r="M27" s="176" t="n">
        <f aca="false">COLUMNS($B27:M27)</f>
        <v>12</v>
      </c>
      <c r="N27" s="176" t="n">
        <f aca="false">COLUMNS($B27:N27)</f>
        <v>13</v>
      </c>
      <c r="O27" s="176" t="n">
        <f aca="false">COLUMNS($B27:O27)</f>
        <v>14</v>
      </c>
      <c r="P27" s="176" t="n">
        <f aca="false">COLUMNS($B27:P27)</f>
        <v>15</v>
      </c>
      <c r="Q27" s="176" t="n">
        <f aca="false">COLUMNS($B27:Q27)</f>
        <v>16</v>
      </c>
      <c r="R27" s="177"/>
      <c r="S27" s="177"/>
      <c r="T27" s="78"/>
    </row>
    <row r="28" customFormat="false" ht="14.25" hidden="false" customHeight="true" outlineLevel="0" collapsed="false">
      <c r="A28" s="3" t="s">
        <v>2671</v>
      </c>
      <c r="B28" s="178" t="n">
        <f aca="false">DeploySum!B54</f>
        <v>0</v>
      </c>
      <c r="C28" s="178" t="n">
        <f aca="false">DeploySum!C54</f>
        <v>0</v>
      </c>
      <c r="D28" s="178" t="n">
        <f aca="false">DeploySum!D54</f>
        <v>0</v>
      </c>
      <c r="E28" s="178" t="n">
        <f aca="false">DeploySum!E54</f>
        <v>0</v>
      </c>
      <c r="F28" s="178" t="n">
        <f aca="false">DeploySum!F54</f>
        <v>3</v>
      </c>
      <c r="G28" s="178" t="n">
        <f aca="false">DeploySum!G54</f>
        <v>2</v>
      </c>
      <c r="H28" s="178" t="n">
        <f aca="false">DeploySum!H54</f>
        <v>0</v>
      </c>
      <c r="I28" s="178" t="n">
        <f aca="false">DeploySum!I54</f>
        <v>3</v>
      </c>
      <c r="J28" s="178" t="n">
        <f aca="false">DeploySum!J54</f>
        <v>3</v>
      </c>
      <c r="K28" s="178" t="n">
        <f aca="false">DeploySum!K54</f>
        <v>4</v>
      </c>
      <c r="L28" s="178" t="n">
        <f aca="false">DeploySum!L54</f>
        <v>4</v>
      </c>
      <c r="M28" s="178" t="n">
        <f aca="false">DeploySum!M54</f>
        <v>5</v>
      </c>
      <c r="N28" s="178" t="n">
        <f aca="false">DeploySum!N54</f>
        <v>6</v>
      </c>
      <c r="O28" s="178" t="n">
        <f aca="false">DeploySum!O54</f>
        <v>6</v>
      </c>
      <c r="P28" s="178" t="n">
        <f aca="false">DeploySum!P54</f>
        <v>7</v>
      </c>
      <c r="Q28" s="178" t="n">
        <f aca="false">DeploySum!Q54</f>
        <v>8</v>
      </c>
      <c r="R28" s="179" t="n">
        <f aca="false">SUM(B28:E28)</f>
        <v>0</v>
      </c>
      <c r="S28" s="179" t="n">
        <f aca="false">SUM(F28:Q28)</f>
        <v>51</v>
      </c>
      <c r="T28" s="78"/>
    </row>
    <row r="29" customFormat="false" ht="14.25" hidden="false" customHeight="true" outlineLevel="0" collapsed="false">
      <c r="A29" s="3" t="s">
        <v>2672</v>
      </c>
      <c r="B29" s="168" t="n">
        <f aca="false" t="array" ref="B29:B29">IF(B$27+$B$10&gt;COLUMNS(DeploySum!$B$54:$Q$54),$B$15,IFERROR(INDEX(DeploySum!$B$54:$Q$54,B$27+$B$10),0))*$B$5</f>
        <v>0</v>
      </c>
      <c r="C29" s="168" t="n">
        <f aca="false" t="array" ref="C29:C29">IF(C$27+$B$10&gt;COLUMNS(DeploySum!$B$54:$Q$54),$B$15,IFERROR(INDEX(DeploySum!$B$54:$Q$54,C$27+$B$10),0))*$B$5</f>
        <v>0</v>
      </c>
      <c r="D29" s="168" t="n">
        <f aca="false" t="array" ref="D29:D29">IF(D$27+$B$10&gt;COLUMNS(DeploySum!$B$54:$Q$54),$B$15,IFERROR(INDEX(DeploySum!$B$54:$Q$54,D$27+$B$10),0))*$B$5</f>
        <v>0</v>
      </c>
      <c r="E29" s="168" t="n">
        <f aca="false" t="array" ref="E29:E29">IF(E$27+$B$10&gt;COLUMNS(DeploySum!$B$54:$Q$54),$B$15,IFERROR(INDEX(DeploySum!$B$54:$Q$54,E$27+$B$10),0))*$B$5</f>
        <v>3</v>
      </c>
      <c r="F29" s="168" t="n">
        <f aca="false" t="array" ref="F29:F29">IF(F$27+$B$10&gt;COLUMNS(DeploySum!$B$54:$Q$54),$B$15,IFERROR(INDEX(DeploySum!$B$54:$Q$54,F$27+$B$10),0))*$B$5</f>
        <v>2</v>
      </c>
      <c r="G29" s="168" t="n">
        <f aca="false" t="array" ref="G29:G29">IF(G$27+$B$10&gt;COLUMNS(DeploySum!$B$54:$Q$54),$B$15,IFERROR(INDEX(DeploySum!$B$54:$Q$54,G$27+$B$10),0))*$B$5</f>
        <v>0</v>
      </c>
      <c r="H29" s="168" t="n">
        <f aca="false" t="array" ref="H29:H29">IF(H$27+$B$10&gt;COLUMNS(DeploySum!$B$54:$Q$54),$B$15,IFERROR(INDEX(DeploySum!$B$54:$Q$54,H$27+$B$10),0))*$B$5</f>
        <v>3</v>
      </c>
      <c r="I29" s="168" t="n">
        <f aca="false" t="array" ref="I29:I29">IF(I$27+$B$10&gt;COLUMNS(DeploySum!$B$54:$Q$54),$B$15,IFERROR(INDEX(DeploySum!$B$54:$Q$54,I$27+$B$10),0))*$B$5</f>
        <v>3</v>
      </c>
      <c r="J29" s="168" t="n">
        <f aca="false" t="array" ref="J29:J29">IF(J$27+$B$10&gt;COLUMNS(DeploySum!$B$54:$Q$54),$B$15,IFERROR(INDEX(DeploySum!$B$54:$Q$54,J$27+$B$10),0))*$B$5</f>
        <v>4</v>
      </c>
      <c r="K29" s="168" t="n">
        <f aca="false" t="array" ref="K29:K29">IF(K$27+$B$10&gt;COLUMNS(DeploySum!$B$54:$Q$54),$B$15,IFERROR(INDEX(DeploySum!$B$54:$Q$54,K$27+$B$10),0))*$B$5</f>
        <v>4</v>
      </c>
      <c r="L29" s="168" t="n">
        <f aca="false" t="array" ref="L29:L29">IF(L$27+$B$10&gt;COLUMNS(DeploySum!$B$54:$Q$54),$B$15,IFERROR(INDEX(DeploySum!$B$54:$Q$54,L$27+$B$10),0))*$B$5</f>
        <v>5</v>
      </c>
      <c r="M29" s="168" t="n">
        <f aca="false" t="array" ref="M29:M29">IF(M$27+$B$10&gt;COLUMNS(DeploySum!$B$54:$Q$54),$B$15,IFERROR(INDEX(DeploySum!$B$54:$Q$54,M$27+$B$10),0))*$B$5</f>
        <v>6</v>
      </c>
      <c r="N29" s="168" t="n">
        <f aca="false" t="array" ref="N29:N29">IF(N$27+$B$10&gt;COLUMNS(DeploySum!$B$54:$Q$54),$B$15,IFERROR(INDEX(DeploySum!$B$54:$Q$54,N$27+$B$10),0))*$B$5</f>
        <v>6</v>
      </c>
      <c r="O29" s="168" t="n">
        <f aca="false" t="array" ref="O29:O29">IF(O$27+$B$10&gt;COLUMNS(DeploySum!$B$54:$Q$54),$B$15,IFERROR(INDEX(DeploySum!$B$54:$Q$54,O$27+$B$10),0))*$B$5</f>
        <v>7</v>
      </c>
      <c r="P29" s="168" t="n">
        <f aca="false" t="array" ref="P29:P29">IF(P$27+$B$10&gt;COLUMNS(DeploySum!$B$54:$Q$54),$B$15,IFERROR(INDEX(DeploySum!$B$54:$Q$54,P$27+$B$10),0))*$B$5</f>
        <v>8</v>
      </c>
      <c r="Q29" s="168" t="n">
        <f aca="false" t="array" ref="Q29:Q29">IF(Q$27+$B$10&gt;COLUMNS(DeploySum!$B$54:$Q$54),$B$15,IFERROR(INDEX(DeploySum!$B$54:$Q$54,Q$27+$B$10),0))*$B$5</f>
        <v>7</v>
      </c>
      <c r="R29" s="179" t="n">
        <f aca="false">SUM(B29:E29)</f>
        <v>3</v>
      </c>
      <c r="S29" s="179" t="n">
        <f aca="false">SUM(F29:Q29)</f>
        <v>55</v>
      </c>
      <c r="T29" s="78"/>
    </row>
    <row r="30" customFormat="false" ht="14.25" hidden="false" customHeight="true" outlineLevel="0" collapsed="false">
      <c r="A30" s="3" t="s">
        <v>2673</v>
      </c>
      <c r="B30" s="168" t="n">
        <f aca="false">B29</f>
        <v>0</v>
      </c>
      <c r="C30" s="168" t="n">
        <f aca="false">B30+C29</f>
        <v>0</v>
      </c>
      <c r="D30" s="168" t="n">
        <f aca="false">C30+D29</f>
        <v>0</v>
      </c>
      <c r="E30" s="168" t="n">
        <f aca="false">D30+E29</f>
        <v>3</v>
      </c>
      <c r="F30" s="168" t="n">
        <f aca="false">E30+F29</f>
        <v>5</v>
      </c>
      <c r="G30" s="168" t="n">
        <f aca="false">F30+G29</f>
        <v>5</v>
      </c>
      <c r="H30" s="168" t="n">
        <f aca="false">G30+H29</f>
        <v>8</v>
      </c>
      <c r="I30" s="168" t="n">
        <f aca="false">H30+I29</f>
        <v>11</v>
      </c>
      <c r="J30" s="168" t="n">
        <f aca="false">I30+J29</f>
        <v>15</v>
      </c>
      <c r="K30" s="168" t="n">
        <f aca="false">J30+K29</f>
        <v>19</v>
      </c>
      <c r="L30" s="168" t="n">
        <f aca="false">K30+L29</f>
        <v>24</v>
      </c>
      <c r="M30" s="168" t="n">
        <f aca="false">L30+M29</f>
        <v>30</v>
      </c>
      <c r="N30" s="168" t="n">
        <f aca="false">M30+N29</f>
        <v>36</v>
      </c>
      <c r="O30" s="168" t="n">
        <f aca="false">N30+O29</f>
        <v>43</v>
      </c>
      <c r="P30" s="168" t="n">
        <f aca="false">O30+P29</f>
        <v>51</v>
      </c>
      <c r="Q30" s="168" t="n">
        <f aca="false">P30+Q29</f>
        <v>58</v>
      </c>
      <c r="R30" s="169" t="n">
        <f aca="false">AVERAGE(B30:E30)</f>
        <v>0.75</v>
      </c>
      <c r="S30" s="169" t="n">
        <f aca="false">AVERAGE(F30:Q30)</f>
        <v>25.4166666666667</v>
      </c>
      <c r="T30" s="78"/>
    </row>
    <row r="31" customFormat="false" ht="14.25" hidden="false" customHeight="true" outlineLevel="0" collapsed="false">
      <c r="A31" s="3" t="s">
        <v>2666</v>
      </c>
      <c r="B31" s="170" t="n">
        <f aca="false">B30*$B$6/12+IF(B$26&gt;=$M$6,MIN(B30,INDEX($B30:$Q30,IFERROR(MATCH(EOMONTH($M$6,-$M$7-1),$B$26:$Q$26,0),1)))*$B$6/12*$M$5,0)</f>
        <v>0</v>
      </c>
      <c r="C31" s="170" t="n">
        <f aca="false">C30*$B$6/12+IF(C$26&gt;=$M$6,MIN(C30,INDEX($B30:$Q30,IFERROR(MATCH(EOMONTH($M$6,-$M$7-1),$B$26:$Q$26,0),1)))*$B$6/12*$M$5,0)</f>
        <v>0</v>
      </c>
      <c r="D31" s="170" t="n">
        <f aca="false">D30*$B$6/12+IF(D$26&gt;=$M$6,MIN(D30,INDEX($B30:$Q30,IFERROR(MATCH(EOMONTH($M$6,-$M$7-1),$B$26:$Q$26,0),1)))*$B$6/12*$M$5,0)</f>
        <v>0</v>
      </c>
      <c r="E31" s="170" t="n">
        <f aca="false">E30*$B$6/12+IF(E$26&gt;=$M$6,MIN(E30,INDEX($B30:$Q30,IFERROR(MATCH(EOMONTH($M$6,-$M$7-1),$B$26:$Q$26,0),1)))*$B$6/12*$M$5,0)</f>
        <v>15750</v>
      </c>
      <c r="F31" s="170" t="n">
        <f aca="false">F30*$B$6/12+IF(F$26&gt;=$M$6,MIN(F30,INDEX($B30:$Q30,IFERROR(MATCH(EOMONTH($M$6,-$M$7-1),$B$26:$Q$26,0),1)))*$B$6/12*$M$5,0)</f>
        <v>26250</v>
      </c>
      <c r="G31" s="170" t="n">
        <f aca="false">G30*$B$6/12+IF(G$26&gt;=$M$6,MIN(G30,INDEX($B30:$Q30,IFERROR(MATCH(EOMONTH($M$6,-$M$7-1),$B$26:$Q$26,0),1)))*$B$6/12*$M$5,0)</f>
        <v>26250</v>
      </c>
      <c r="H31" s="170" t="n">
        <f aca="false">H30*$B$6/12+IF(H$26&gt;=$M$6,MIN(H30,INDEX($B30:$Q30,IFERROR(MATCH(EOMONTH($M$6,-$M$7-1),$B$26:$Q$26,0),1)))*$B$6/12*$M$5,0)</f>
        <v>42000</v>
      </c>
      <c r="I31" s="170" t="n">
        <f aca="false">I30*$B$6/12+IF(I$26&gt;=$M$6,MIN(I30,INDEX($B30:$Q30,IFERROR(MATCH(EOMONTH($M$6,-$M$7-1),$B$26:$Q$26,0),1)))*$B$6/12*$M$5,0)</f>
        <v>57750</v>
      </c>
      <c r="J31" s="170" t="n">
        <f aca="false">J30*$B$6/12+IF(J$26&gt;=$M$6,MIN(J30,INDEX($B30:$Q30,IFERROR(MATCH(EOMONTH($M$6,-$M$7-1),$B$26:$Q$26,0),1)))*$B$6/12*$M$5,0)</f>
        <v>78750</v>
      </c>
      <c r="K31" s="170" t="n">
        <f aca="false">K30*$B$6/12+IF(K$26&gt;=$M$6,MIN(K30,INDEX($B30:$Q30,IFERROR(MATCH(EOMONTH($M$6,-$M$7-1),$B$26:$Q$26,0),1)))*$B$6/12*$M$5,0)</f>
        <v>99750</v>
      </c>
      <c r="L31" s="170" t="n">
        <f aca="false">L30*$B$6/12+IF(L$26&gt;=$M$6,MIN(L30,INDEX($B30:$Q30,IFERROR(MATCH(EOMONTH($M$6,-$M$7-1),$B$26:$Q$26,0),1)))*$B$6/12*$M$5,0)</f>
        <v>126000</v>
      </c>
      <c r="M31" s="170" t="n">
        <f aca="false">M30*$B$6/12+IF(M$26&gt;=$M$6,MIN(M30,INDEX($B30:$Q30,IFERROR(MATCH(EOMONTH($M$6,-$M$7-1),$B$26:$Q$26,0),1)))*$B$6/12*$M$5,0)</f>
        <v>157500</v>
      </c>
      <c r="N31" s="170" t="n">
        <f aca="false">N30*$B$6/12+IF(N$26&gt;=$M$6,MIN(N30,INDEX($B30:$Q30,IFERROR(MATCH(EOMONTH($M$6,-$M$7-1),$B$26:$Q$26,0),1)))*$B$6/12*$M$5,0)</f>
        <v>189000</v>
      </c>
      <c r="O31" s="170" t="n">
        <f aca="false">O30*$B$6/12+IF(O$26&gt;=$M$6,MIN(O30,INDEX($B30:$Q30,IFERROR(MATCH(EOMONTH($M$6,-$M$7-1),$B$26:$Q$26,0),1)))*$B$6/12*$M$5,0)</f>
        <v>227010</v>
      </c>
      <c r="P31" s="170" t="n">
        <f aca="false">P30*$B$6/12+IF(P$26&gt;=$M$6,MIN(P30,INDEX($B30:$Q30,IFERROR(MATCH(EOMONTH($M$6,-$M$7-1),$B$26:$Q$26,0),1)))*$B$6/12*$M$5,0)</f>
        <v>269010</v>
      </c>
      <c r="Q31" s="170" t="n">
        <f aca="false">Q30*$B$6/12+IF(Q$26&gt;=$M$6,MIN(Q30,INDEX($B30:$Q30,IFERROR(MATCH(EOMONTH($M$6,-$M$7-1),$B$26:$Q$26,0),1)))*$B$6/12*$M$5,0)</f>
        <v>305760</v>
      </c>
      <c r="R31" s="171" t="n">
        <f aca="false">SUM(B31:E31)</f>
        <v>15750</v>
      </c>
      <c r="S31" s="171" t="n">
        <f aca="false">SUM(F31:Q31)</f>
        <v>1605030</v>
      </c>
    </row>
    <row r="32" customFormat="false" ht="14.25" hidden="false" customHeight="true" outlineLevel="0" collapsed="false">
      <c r="A32" s="3" t="s">
        <v>2667</v>
      </c>
      <c r="B32" s="170" t="n">
        <f aca="false">B31*$B$7</f>
        <v>0</v>
      </c>
      <c r="C32" s="170" t="n">
        <f aca="false">C31*$B$7</f>
        <v>0</v>
      </c>
      <c r="D32" s="170" t="n">
        <f aca="false">D31*$B$7</f>
        <v>0</v>
      </c>
      <c r="E32" s="170" t="n">
        <f aca="false">E31*$B$7</f>
        <v>1071</v>
      </c>
      <c r="F32" s="170" t="n">
        <f aca="false">F31*$B$7</f>
        <v>1785</v>
      </c>
      <c r="G32" s="170" t="n">
        <f aca="false">G31*$B$7</f>
        <v>1785</v>
      </c>
      <c r="H32" s="170" t="n">
        <f aca="false">H31*$B$7</f>
        <v>2856</v>
      </c>
      <c r="I32" s="170" t="n">
        <f aca="false">I31*$B$7</f>
        <v>3927</v>
      </c>
      <c r="J32" s="170" t="n">
        <f aca="false">J31*$B$7</f>
        <v>5355</v>
      </c>
      <c r="K32" s="170" t="n">
        <f aca="false">K31*$B$7</f>
        <v>6783</v>
      </c>
      <c r="L32" s="170" t="n">
        <f aca="false">L31*$B$7</f>
        <v>8568</v>
      </c>
      <c r="M32" s="170" t="n">
        <f aca="false">M31*$B$7</f>
        <v>10710</v>
      </c>
      <c r="N32" s="170" t="n">
        <f aca="false">N31*$B$7</f>
        <v>12852</v>
      </c>
      <c r="O32" s="170" t="n">
        <f aca="false">O31*$B$7</f>
        <v>15436.68</v>
      </c>
      <c r="P32" s="170" t="n">
        <f aca="false">P31*$B$7</f>
        <v>18292.68</v>
      </c>
      <c r="Q32" s="170" t="n">
        <f aca="false">Q31*$B$7</f>
        <v>20791.68</v>
      </c>
      <c r="R32" s="171" t="n">
        <f aca="false">SUM(B32:E32)</f>
        <v>1071</v>
      </c>
      <c r="S32" s="171" t="n">
        <f aca="false">SUM(F32:Q32)</f>
        <v>109142.04</v>
      </c>
    </row>
    <row r="33" customFormat="false" ht="14.25" hidden="false" customHeight="true" outlineLevel="0" collapsed="false">
      <c r="A33" s="3" t="s">
        <v>2289</v>
      </c>
      <c r="B33" s="170" t="n">
        <f aca="false">B31*$B$8</f>
        <v>0</v>
      </c>
      <c r="C33" s="170" t="n">
        <f aca="false">C31*$B$8</f>
        <v>0</v>
      </c>
      <c r="D33" s="170" t="n">
        <f aca="false">D31*$B$8</f>
        <v>0</v>
      </c>
      <c r="E33" s="170" t="n">
        <f aca="false">E31*$B$8</f>
        <v>2583</v>
      </c>
      <c r="F33" s="170" t="n">
        <f aca="false">F31*$B$8</f>
        <v>4305</v>
      </c>
      <c r="G33" s="170" t="n">
        <f aca="false">G31*$B$8</f>
        <v>4305</v>
      </c>
      <c r="H33" s="170" t="n">
        <f aca="false">H31*$B$8</f>
        <v>6888</v>
      </c>
      <c r="I33" s="170" t="n">
        <f aca="false">I31*$B$8</f>
        <v>9471</v>
      </c>
      <c r="J33" s="170" t="n">
        <f aca="false">J31*$B$8</f>
        <v>12915</v>
      </c>
      <c r="K33" s="170" t="n">
        <f aca="false">K31*$B$8</f>
        <v>16359</v>
      </c>
      <c r="L33" s="170" t="n">
        <f aca="false">L31*$B$8</f>
        <v>20664</v>
      </c>
      <c r="M33" s="170" t="n">
        <f aca="false">M31*$B$8</f>
        <v>25830</v>
      </c>
      <c r="N33" s="170" t="n">
        <f aca="false">N31*$B$8</f>
        <v>30996</v>
      </c>
      <c r="O33" s="170" t="n">
        <f aca="false">O31*$B$8</f>
        <v>37229.64</v>
      </c>
      <c r="P33" s="170" t="n">
        <f aca="false">P31*$B$8</f>
        <v>44117.64</v>
      </c>
      <c r="Q33" s="170" t="n">
        <f aca="false">Q31*$B$8</f>
        <v>50144.64</v>
      </c>
      <c r="R33" s="171" t="n">
        <f aca="false">SUM(B33:E33)</f>
        <v>2583</v>
      </c>
      <c r="S33" s="171" t="n">
        <f aca="false">SUM(F33:Q33)</f>
        <v>263224.92</v>
      </c>
    </row>
    <row r="34" customFormat="false" ht="14.25" hidden="false" customHeight="true" outlineLevel="0" collapsed="false">
      <c r="A34" s="3" t="s">
        <v>2674</v>
      </c>
      <c r="B34" s="170" t="n">
        <f aca="false">B29*$B$9</f>
        <v>0</v>
      </c>
      <c r="C34" s="170" t="n">
        <f aca="false">C29*$B$9</f>
        <v>0</v>
      </c>
      <c r="D34" s="170" t="n">
        <f aca="false">D29*$B$9</f>
        <v>0</v>
      </c>
      <c r="E34" s="170" t="n">
        <f aca="false">E29*$B$9</f>
        <v>6000</v>
      </c>
      <c r="F34" s="170" t="n">
        <f aca="false">F29*$B$9</f>
        <v>4000</v>
      </c>
      <c r="G34" s="170" t="n">
        <f aca="false">G29*$B$9</f>
        <v>0</v>
      </c>
      <c r="H34" s="170" t="n">
        <f aca="false">H29*$B$9</f>
        <v>6000</v>
      </c>
      <c r="I34" s="170" t="n">
        <f aca="false">I29*$B$9</f>
        <v>6000</v>
      </c>
      <c r="J34" s="170" t="n">
        <f aca="false">J29*$B$9</f>
        <v>8000</v>
      </c>
      <c r="K34" s="170" t="n">
        <f aca="false">K29*$B$9</f>
        <v>8000</v>
      </c>
      <c r="L34" s="170" t="n">
        <f aca="false">L29*$B$9</f>
        <v>10000</v>
      </c>
      <c r="M34" s="170" t="n">
        <f aca="false">M29*$B$9</f>
        <v>12000</v>
      </c>
      <c r="N34" s="170" t="n">
        <f aca="false">N29*$B$9</f>
        <v>12000</v>
      </c>
      <c r="O34" s="170" t="n">
        <f aca="false">O29*$B$9</f>
        <v>14000</v>
      </c>
      <c r="P34" s="170" t="n">
        <f aca="false">P29*$B$9</f>
        <v>16000</v>
      </c>
      <c r="Q34" s="170" t="n">
        <f aca="false">Q29*$B$9</f>
        <v>14000</v>
      </c>
      <c r="R34" s="171" t="n">
        <f aca="false">SUM(B34:E34)</f>
        <v>6000</v>
      </c>
      <c r="S34" s="171" t="n">
        <f aca="false">SUM(F34:Q34)</f>
        <v>110000</v>
      </c>
    </row>
    <row r="35" customFormat="false" ht="14.25" hidden="false" customHeight="true" outlineLevel="0" collapsed="false">
      <c r="A35" s="172" t="s">
        <v>2675</v>
      </c>
      <c r="B35" s="173" t="n">
        <f aca="false">SUM(B31:B34)</f>
        <v>0</v>
      </c>
      <c r="C35" s="173" t="n">
        <f aca="false">SUM(C31:C34)</f>
        <v>0</v>
      </c>
      <c r="D35" s="173" t="n">
        <f aca="false">SUM(D31:D34)</f>
        <v>0</v>
      </c>
      <c r="E35" s="173" t="n">
        <f aca="false">SUM(E31:E34)</f>
        <v>25404</v>
      </c>
      <c r="F35" s="173" t="n">
        <f aca="false">SUM(F31:F34)</f>
        <v>36340</v>
      </c>
      <c r="G35" s="173" t="n">
        <f aca="false">SUM(G31:G34)</f>
        <v>32340</v>
      </c>
      <c r="H35" s="173" t="n">
        <f aca="false">SUM(H31:H34)</f>
        <v>57744</v>
      </c>
      <c r="I35" s="173" t="n">
        <f aca="false">SUM(I31:I34)</f>
        <v>77148</v>
      </c>
      <c r="J35" s="173" t="n">
        <f aca="false">SUM(J31:J34)</f>
        <v>105020</v>
      </c>
      <c r="K35" s="173" t="n">
        <f aca="false">SUM(K31:K34)</f>
        <v>130892</v>
      </c>
      <c r="L35" s="173" t="n">
        <f aca="false">SUM(L31:L34)</f>
        <v>165232</v>
      </c>
      <c r="M35" s="173" t="n">
        <f aca="false">SUM(M31:M34)</f>
        <v>206040</v>
      </c>
      <c r="N35" s="173" t="n">
        <f aca="false">SUM(N31:N34)</f>
        <v>244848</v>
      </c>
      <c r="O35" s="173" t="n">
        <f aca="false">SUM(O31:O34)</f>
        <v>293676.32</v>
      </c>
      <c r="P35" s="173" t="n">
        <f aca="false">SUM(P31:P34)</f>
        <v>347420.32</v>
      </c>
      <c r="Q35" s="173" t="n">
        <f aca="false">SUM(Q31:Q34)</f>
        <v>390696.32</v>
      </c>
      <c r="R35" s="174" t="n">
        <f aca="false">SUM(B35:E35)</f>
        <v>25404</v>
      </c>
      <c r="S35" s="174" t="n">
        <f aca="false">SUM(F35:Q35)</f>
        <v>2087396.96</v>
      </c>
    </row>
    <row r="36" customFormat="false" ht="14.25" hidden="false" customHeight="true" outlineLevel="0" collapsed="false"/>
    <row r="37" customFormat="false" ht="14.25" hidden="false" customHeight="true" outlineLevel="0" collapsed="false">
      <c r="A37" s="167" t="s">
        <v>2676</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2664</v>
      </c>
      <c r="S37" s="80" t="s">
        <v>2325</v>
      </c>
    </row>
    <row r="38" customFormat="false" ht="14.25" hidden="false" customHeight="true" outlineLevel="0" collapsed="false">
      <c r="A38" s="3" t="s">
        <v>2677</v>
      </c>
      <c r="B38" s="178" t="n">
        <f aca="false">DeploySum!B57</f>
        <v>0</v>
      </c>
      <c r="C38" s="178" t="n">
        <f aca="false">DeploySum!C57</f>
        <v>0</v>
      </c>
      <c r="D38" s="178" t="n">
        <f aca="false">DeploySum!D57</f>
        <v>0</v>
      </c>
      <c r="E38" s="178" t="n">
        <f aca="false">DeploySum!E57</f>
        <v>0</v>
      </c>
      <c r="F38" s="178" t="n">
        <f aca="false">DeploySum!F57</f>
        <v>0</v>
      </c>
      <c r="G38" s="178" t="n">
        <f aca="false">DeploySum!G57</f>
        <v>0</v>
      </c>
      <c r="H38" s="178" t="n">
        <f aca="false">DeploySum!H57</f>
        <v>0</v>
      </c>
      <c r="I38" s="178" t="n">
        <f aca="false">DeploySum!I57</f>
        <v>1</v>
      </c>
      <c r="J38" s="178" t="n">
        <f aca="false">DeploySum!J57</f>
        <v>1</v>
      </c>
      <c r="K38" s="178" t="n">
        <f aca="false">DeploySum!K57</f>
        <v>2</v>
      </c>
      <c r="L38" s="178" t="n">
        <f aca="false">DeploySum!L57</f>
        <v>1</v>
      </c>
      <c r="M38" s="178" t="n">
        <f aca="false">DeploySum!M57</f>
        <v>1</v>
      </c>
      <c r="N38" s="178" t="n">
        <f aca="false">DeploySum!N57</f>
        <v>2</v>
      </c>
      <c r="O38" s="178" t="n">
        <f aca="false">DeploySum!O57</f>
        <v>2</v>
      </c>
      <c r="P38" s="178" t="n">
        <f aca="false">DeploySum!P57</f>
        <v>3</v>
      </c>
      <c r="Q38" s="178" t="n">
        <f aca="false">DeploySum!Q57</f>
        <v>2</v>
      </c>
      <c r="R38" s="179" t="n">
        <f aca="false">SUM(B38:E38)</f>
        <v>0</v>
      </c>
      <c r="S38" s="179" t="n">
        <f aca="false">SUM(F38:Q38)</f>
        <v>15</v>
      </c>
      <c r="T38" s="78"/>
    </row>
    <row r="39" customFormat="false" ht="14.25" hidden="false" customHeight="true" outlineLevel="0" collapsed="false">
      <c r="A39" s="3" t="s">
        <v>2678</v>
      </c>
      <c r="B39" s="168" t="n">
        <f aca="false" t="array" ref="B39:B39">IF(B$27+$B$10&gt;COLUMNS(DeploySum!$B$57:$Q$57),$B$16,IFERROR(INDEX(DeploySum!$B$57:$Q$57,B$27+$B$10),0))</f>
        <v>0</v>
      </c>
      <c r="C39" s="168" t="n">
        <f aca="false" t="array" ref="C39:C39">IF(C$27+$B$10&gt;COLUMNS(DeploySum!$B$57:$Q$57),$B$16,IFERROR(INDEX(DeploySum!$B$57:$Q$57,C$27+$B$10),0))</f>
        <v>0</v>
      </c>
      <c r="D39" s="168" t="n">
        <f aca="false" t="array" ref="D39:D39">IF(D$27+$B$10&gt;COLUMNS(DeploySum!$B$57:$Q$57),$B$16,IFERROR(INDEX(DeploySum!$B$57:$Q$57,D$27+$B$10),0))</f>
        <v>0</v>
      </c>
      <c r="E39" s="168" t="n">
        <f aca="false" t="array" ref="E39:E39">IF(E$27+$B$10&gt;COLUMNS(DeploySum!$B$57:$Q$57),$B$16,IFERROR(INDEX(DeploySum!$B$57:$Q$57,E$27+$B$10),0))</f>
        <v>0</v>
      </c>
      <c r="F39" s="168" t="n">
        <f aca="false" t="array" ref="F39:F39">IF(F$27+$B$10&gt;COLUMNS(DeploySum!$B$57:$Q$57),$B$16,IFERROR(INDEX(DeploySum!$B$57:$Q$57,F$27+$B$10),0))</f>
        <v>0</v>
      </c>
      <c r="G39" s="168" t="n">
        <f aca="false" t="array" ref="G39:G39">IF(G$27+$B$10&gt;COLUMNS(DeploySum!$B$57:$Q$57),$B$16,IFERROR(INDEX(DeploySum!$B$57:$Q$57,G$27+$B$10),0))</f>
        <v>0</v>
      </c>
      <c r="H39" s="168" t="n">
        <f aca="false" t="array" ref="H39:H39">IF(H$27+$B$10&gt;COLUMNS(DeploySum!$B$57:$Q$57),$B$16,IFERROR(INDEX(DeploySum!$B$57:$Q$57,H$27+$B$10),0))</f>
        <v>1</v>
      </c>
      <c r="I39" s="168" t="n">
        <f aca="false" t="array" ref="I39:I39">IF(I$27+$B$10&gt;COLUMNS(DeploySum!$B$57:$Q$57),$B$16,IFERROR(INDEX(DeploySum!$B$57:$Q$57,I$27+$B$10),0))</f>
        <v>1</v>
      </c>
      <c r="J39" s="168" t="n">
        <f aca="false" t="array" ref="J39:J39">IF(J$27+$B$10&gt;COLUMNS(DeploySum!$B$57:$Q$57),$B$16,IFERROR(INDEX(DeploySum!$B$57:$Q$57,J$27+$B$10),0))</f>
        <v>2</v>
      </c>
      <c r="K39" s="168" t="n">
        <f aca="false" t="array" ref="K39:K39">IF(K$27+$B$10&gt;COLUMNS(DeploySum!$B$57:$Q$57),$B$16,IFERROR(INDEX(DeploySum!$B$57:$Q$57,K$27+$B$10),0))</f>
        <v>1</v>
      </c>
      <c r="L39" s="168" t="n">
        <f aca="false" t="array" ref="L39:L39">IF(L$27+$B$10&gt;COLUMNS(DeploySum!$B$57:$Q$57),$B$16,IFERROR(INDEX(DeploySum!$B$57:$Q$57,L$27+$B$10),0))</f>
        <v>1</v>
      </c>
      <c r="M39" s="168" t="n">
        <f aca="false" t="array" ref="M39:M39">IF(M$27+$B$10&gt;COLUMNS(DeploySum!$B$57:$Q$57),$B$16,IFERROR(INDEX(DeploySum!$B$57:$Q$57,M$27+$B$10),0))</f>
        <v>2</v>
      </c>
      <c r="N39" s="168" t="n">
        <f aca="false" t="array" ref="N39:N39">IF(N$27+$B$10&gt;COLUMNS(DeploySum!$B$57:$Q$57),$B$16,IFERROR(INDEX(DeploySum!$B$57:$Q$57,N$27+$B$10),0))</f>
        <v>2</v>
      </c>
      <c r="O39" s="168" t="n">
        <f aca="false" t="array" ref="O39:O39">IF(O$27+$B$10&gt;COLUMNS(DeploySum!$B$57:$Q$57),$B$16,IFERROR(INDEX(DeploySum!$B$57:$Q$57,O$27+$B$10),0))</f>
        <v>3</v>
      </c>
      <c r="P39" s="168" t="n">
        <f aca="false" t="array" ref="P39:P39">IF(P$27+$B$10&gt;COLUMNS(DeploySum!$B$57:$Q$57),$B$16,IFERROR(INDEX(DeploySum!$B$57:$Q$57,P$27+$B$10),0))</f>
        <v>2</v>
      </c>
      <c r="Q39" s="168" t="n">
        <f aca="false" t="array" ref="Q39:Q39">IF(Q$27+$B$10&gt;COLUMNS(DeploySum!$B$57:$Q$57),$B$16,IFERROR(INDEX(DeploySum!$B$57:$Q$57,Q$27+$B$10),0))</f>
        <v>2</v>
      </c>
      <c r="R39" s="179" t="n">
        <f aca="false">SUM(B39:E39)</f>
        <v>0</v>
      </c>
      <c r="S39" s="179" t="n">
        <f aca="false">SUM(F39:Q39)</f>
        <v>17</v>
      </c>
      <c r="T39" s="78"/>
    </row>
    <row r="40" customFormat="false" ht="14.25" hidden="false" customHeight="true" outlineLevel="0" collapsed="false">
      <c r="A40" s="3" t="s">
        <v>2679</v>
      </c>
      <c r="B40" s="168" t="n">
        <f aca="false">ROUND(SUM($B39:B39)*$B$12,0)</f>
        <v>0</v>
      </c>
      <c r="C40" s="168" t="n">
        <f aca="false">ROUND(SUM($B39:C39)*$B$12,0)</f>
        <v>0</v>
      </c>
      <c r="D40" s="168" t="n">
        <f aca="false">ROUND(SUM($B39:D39)*$B$12,0)</f>
        <v>0</v>
      </c>
      <c r="E40" s="168" t="n">
        <f aca="false">ROUND(SUM($B39:E39)*$B$12,0)</f>
        <v>0</v>
      </c>
      <c r="F40" s="168" t="n">
        <f aca="false">ROUND(SUM($B39:F39)*$B$12,0)</f>
        <v>0</v>
      </c>
      <c r="G40" s="168" t="n">
        <f aca="false">ROUND(SUM($B39:G39)*$B$12,0)</f>
        <v>0</v>
      </c>
      <c r="H40" s="168" t="n">
        <f aca="false">ROUND(SUM($B39:H39)*$B$12,0)</f>
        <v>1</v>
      </c>
      <c r="I40" s="168" t="n">
        <f aca="false">ROUND(SUM($B39:I39)*$B$12,0)</f>
        <v>1</v>
      </c>
      <c r="J40" s="168" t="n">
        <f aca="false">ROUND(SUM($B39:J39)*$B$12,0)</f>
        <v>2</v>
      </c>
      <c r="K40" s="168" t="n">
        <f aca="false">ROUND(SUM($B39:K39)*$B$12,0)</f>
        <v>3</v>
      </c>
      <c r="L40" s="168" t="n">
        <f aca="false">ROUND(SUM($B39:L39)*$B$12,0)</f>
        <v>4</v>
      </c>
      <c r="M40" s="168" t="n">
        <f aca="false">ROUND(SUM($B39:M39)*$B$12,0)</f>
        <v>5</v>
      </c>
      <c r="N40" s="168" t="n">
        <f aca="false">ROUND(SUM($B39:N39)*$B$12,0)</f>
        <v>6</v>
      </c>
      <c r="O40" s="168" t="n">
        <f aca="false">ROUND(SUM($B39:O39)*$B$12,0)</f>
        <v>8</v>
      </c>
      <c r="P40" s="168" t="n">
        <f aca="false">ROUND(SUM($B39:P39)*$B$12,0)</f>
        <v>9</v>
      </c>
      <c r="Q40" s="168" t="n">
        <f aca="false">ROUND(SUM($B39:Q39)*$B$12,0)</f>
        <v>10</v>
      </c>
      <c r="R40" s="179" t="n">
        <f aca="false">E40</f>
        <v>0</v>
      </c>
      <c r="S40" s="179" t="n">
        <f aca="false">Q40</f>
        <v>10</v>
      </c>
      <c r="T40" s="78"/>
    </row>
    <row r="41" customFormat="false" ht="14.25" hidden="false" customHeight="true" outlineLevel="0" collapsed="false">
      <c r="A41" s="3" t="s">
        <v>2680</v>
      </c>
      <c r="B41" s="168" t="n">
        <f aca="false">B40*$B$5</f>
        <v>0</v>
      </c>
      <c r="C41" s="168" t="n">
        <f aca="false">C40*$B$5</f>
        <v>0</v>
      </c>
      <c r="D41" s="168" t="n">
        <f aca="false">D40*$B$5</f>
        <v>0</v>
      </c>
      <c r="E41" s="168" t="n">
        <f aca="false">E40*$B$5</f>
        <v>0</v>
      </c>
      <c r="F41" s="168" t="n">
        <f aca="false">F40*$B$5</f>
        <v>0</v>
      </c>
      <c r="G41" s="168" t="n">
        <f aca="false">G40*$B$5</f>
        <v>0</v>
      </c>
      <c r="H41" s="168" t="n">
        <f aca="false">H40*$B$5</f>
        <v>1</v>
      </c>
      <c r="I41" s="168" t="n">
        <f aca="false">I40*$B$5</f>
        <v>1</v>
      </c>
      <c r="J41" s="168" t="n">
        <f aca="false">J40*$B$5</f>
        <v>2</v>
      </c>
      <c r="K41" s="168" t="n">
        <f aca="false">K40*$B$5</f>
        <v>3</v>
      </c>
      <c r="L41" s="168" t="n">
        <f aca="false">L40*$B$5</f>
        <v>4</v>
      </c>
      <c r="M41" s="168" t="n">
        <f aca="false">M40*$B$5</f>
        <v>5</v>
      </c>
      <c r="N41" s="168" t="n">
        <f aca="false">N40*$B$5</f>
        <v>6</v>
      </c>
      <c r="O41" s="168" t="n">
        <f aca="false">O40*$B$5</f>
        <v>8</v>
      </c>
      <c r="P41" s="168" t="n">
        <f aca="false">P40*$B$5</f>
        <v>9</v>
      </c>
      <c r="Q41" s="168" t="n">
        <f aca="false">Q40*$B$5</f>
        <v>10</v>
      </c>
      <c r="R41" s="169" t="n">
        <f aca="false">AVERAGE(B41:E41)</f>
        <v>0</v>
      </c>
      <c r="S41" s="169" t="n">
        <f aca="false">AVERAGE(F41:Q41)</f>
        <v>4.08333333333333</v>
      </c>
      <c r="T41" s="78"/>
    </row>
    <row r="42" customFormat="false" ht="14.25" hidden="false" customHeight="true" outlineLevel="0" collapsed="false">
      <c r="A42" s="3" t="s">
        <v>2681</v>
      </c>
      <c r="B42" s="168" t="n">
        <f aca="false">B41</f>
        <v>0</v>
      </c>
      <c r="C42" s="168" t="n">
        <f aca="false">MAX(0,C41-B41)</f>
        <v>0</v>
      </c>
      <c r="D42" s="168" t="n">
        <f aca="false">MAX(0,D41-C41)</f>
        <v>0</v>
      </c>
      <c r="E42" s="168" t="n">
        <f aca="false">MAX(0,E41-D41)</f>
        <v>0</v>
      </c>
      <c r="F42" s="168" t="n">
        <f aca="false">MAX(0,F41-E41)</f>
        <v>0</v>
      </c>
      <c r="G42" s="168" t="n">
        <f aca="false">MAX(0,G41-F41)</f>
        <v>0</v>
      </c>
      <c r="H42" s="168" t="n">
        <f aca="false">MAX(0,H41-G41)</f>
        <v>1</v>
      </c>
      <c r="I42" s="168" t="n">
        <f aca="false">MAX(0,I41-H41)</f>
        <v>0</v>
      </c>
      <c r="J42" s="168" t="n">
        <f aca="false">MAX(0,J41-I41)</f>
        <v>1</v>
      </c>
      <c r="K42" s="168" t="n">
        <f aca="false">MAX(0,K41-J41)</f>
        <v>1</v>
      </c>
      <c r="L42" s="168" t="n">
        <f aca="false">MAX(0,L41-K41)</f>
        <v>1</v>
      </c>
      <c r="M42" s="168" t="n">
        <f aca="false">MAX(0,M41-L41)</f>
        <v>1</v>
      </c>
      <c r="N42" s="168" t="n">
        <f aca="false">MAX(0,N41-M41)</f>
        <v>1</v>
      </c>
      <c r="O42" s="168" t="n">
        <f aca="false">MAX(0,O41-N41)</f>
        <v>2</v>
      </c>
      <c r="P42" s="168" t="n">
        <f aca="false">MAX(0,P41-O41)</f>
        <v>1</v>
      </c>
      <c r="Q42" s="168" t="n">
        <f aca="false">MAX(0,Q41-P41)</f>
        <v>1</v>
      </c>
      <c r="R42" s="179" t="n">
        <f aca="false">SUM(B42:E42)</f>
        <v>0</v>
      </c>
      <c r="S42" s="179" t="n">
        <f aca="false">SUM(F42:Q42)</f>
        <v>10</v>
      </c>
      <c r="T42" s="78"/>
    </row>
    <row r="43" customFormat="false" ht="14.25" hidden="false" customHeight="true" outlineLevel="0" collapsed="false">
      <c r="A43" s="3" t="s">
        <v>2666</v>
      </c>
      <c r="B43" s="170" t="n">
        <f aca="false">B41*$B$6/12+IF(B$26&gt;=$M$6,MIN(B41,INDEX($B41:$Q41,IFERROR(MATCH(EOMONTH($M$6,-$M$7-1),$B$26:$Q$26,0),1)))*$B$6/12*$M$5,0)</f>
        <v>0</v>
      </c>
      <c r="C43" s="170" t="n">
        <f aca="false">C41*$B$6/12+IF(C$26&gt;=$M$6,MIN(C41,INDEX($B41:$Q41,IFERROR(MATCH(EOMONTH($M$6,-$M$7-1),$B$26:$Q$26,0),1)))*$B$6/12*$M$5,0)</f>
        <v>0</v>
      </c>
      <c r="D43" s="170" t="n">
        <f aca="false">D41*$B$6/12+IF(D$26&gt;=$M$6,MIN(D41,INDEX($B41:$Q41,IFERROR(MATCH(EOMONTH($M$6,-$M$7-1),$B$26:$Q$26,0),1)))*$B$6/12*$M$5,0)</f>
        <v>0</v>
      </c>
      <c r="E43" s="170" t="n">
        <f aca="false">E41*$B$6/12+IF(E$26&gt;=$M$6,MIN(E41,INDEX($B41:$Q41,IFERROR(MATCH(EOMONTH($M$6,-$M$7-1),$B$26:$Q$26,0),1)))*$B$6/12*$M$5,0)</f>
        <v>0</v>
      </c>
      <c r="F43" s="170" t="n">
        <f aca="false">F41*$B$6/12+IF(F$26&gt;=$M$6,MIN(F41,INDEX($B41:$Q41,IFERROR(MATCH(EOMONTH($M$6,-$M$7-1),$B$26:$Q$26,0),1)))*$B$6/12*$M$5,0)</f>
        <v>0</v>
      </c>
      <c r="G43" s="170" t="n">
        <f aca="false">G41*$B$6/12+IF(G$26&gt;=$M$6,MIN(G41,INDEX($B41:$Q41,IFERROR(MATCH(EOMONTH($M$6,-$M$7-1),$B$26:$Q$26,0),1)))*$B$6/12*$M$5,0)</f>
        <v>0</v>
      </c>
      <c r="H43" s="170" t="n">
        <f aca="false">H41*$B$6/12+IF(H$26&gt;=$M$6,MIN(H41,INDEX($B41:$Q41,IFERROR(MATCH(EOMONTH($M$6,-$M$7-1),$B$26:$Q$26,0),1)))*$B$6/12*$M$5,0)</f>
        <v>5250</v>
      </c>
      <c r="I43" s="170" t="n">
        <f aca="false">I41*$B$6/12+IF(I$26&gt;=$M$6,MIN(I41,INDEX($B41:$Q41,IFERROR(MATCH(EOMONTH($M$6,-$M$7-1),$B$26:$Q$26,0),1)))*$B$6/12*$M$5,0)</f>
        <v>5250</v>
      </c>
      <c r="J43" s="170" t="n">
        <f aca="false">J41*$B$6/12+IF(J$26&gt;=$M$6,MIN(J41,INDEX($B41:$Q41,IFERROR(MATCH(EOMONTH($M$6,-$M$7-1),$B$26:$Q$26,0),1)))*$B$6/12*$M$5,0)</f>
        <v>10500</v>
      </c>
      <c r="K43" s="170" t="n">
        <f aca="false">K41*$B$6/12+IF(K$26&gt;=$M$6,MIN(K41,INDEX($B41:$Q41,IFERROR(MATCH(EOMONTH($M$6,-$M$7-1),$B$26:$Q$26,0),1)))*$B$6/12*$M$5,0)</f>
        <v>15750</v>
      </c>
      <c r="L43" s="170" t="n">
        <f aca="false">L41*$B$6/12+IF(L$26&gt;=$M$6,MIN(L41,INDEX($B41:$Q41,IFERROR(MATCH(EOMONTH($M$6,-$M$7-1),$B$26:$Q$26,0),1)))*$B$6/12*$M$5,0)</f>
        <v>21000</v>
      </c>
      <c r="M43" s="170" t="n">
        <f aca="false">M41*$B$6/12+IF(M$26&gt;=$M$6,MIN(M41,INDEX($B41:$Q41,IFERROR(MATCH(EOMONTH($M$6,-$M$7-1),$B$26:$Q$26,0),1)))*$B$6/12*$M$5,0)</f>
        <v>26250</v>
      </c>
      <c r="N43" s="170" t="n">
        <f aca="false">N41*$B$6/12+IF(N$26&gt;=$M$6,MIN(N41,INDEX($B41:$Q41,IFERROR(MATCH(EOMONTH($M$6,-$M$7-1),$B$26:$Q$26,0),1)))*$B$6/12*$M$5,0)</f>
        <v>31500</v>
      </c>
      <c r="O43" s="170" t="n">
        <f aca="false">O41*$B$6/12+IF(O$26&gt;=$M$6,MIN(O41,INDEX($B41:$Q41,IFERROR(MATCH(EOMONTH($M$6,-$M$7-1),$B$26:$Q$26,0),1)))*$B$6/12*$M$5,0)</f>
        <v>42157.5</v>
      </c>
      <c r="P43" s="170" t="n">
        <f aca="false">P41*$B$6/12+IF(P$26&gt;=$M$6,MIN(P41,INDEX($B41:$Q41,IFERROR(MATCH(EOMONTH($M$6,-$M$7-1),$B$26:$Q$26,0),1)))*$B$6/12*$M$5,0)</f>
        <v>47407.5</v>
      </c>
      <c r="Q43" s="170" t="n">
        <f aca="false">Q41*$B$6/12+IF(Q$26&gt;=$M$6,MIN(Q41,INDEX($B41:$Q41,IFERROR(MATCH(EOMONTH($M$6,-$M$7-1),$B$26:$Q$26,0),1)))*$B$6/12*$M$5,0)</f>
        <v>52657.5</v>
      </c>
      <c r="R43" s="171" t="n">
        <f aca="false">SUM(B43:E43)</f>
        <v>0</v>
      </c>
      <c r="S43" s="171" t="n">
        <f aca="false">SUM(F43:Q43)</f>
        <v>257722.5</v>
      </c>
    </row>
    <row r="44" customFormat="false" ht="14.25" hidden="false" customHeight="true" outlineLevel="0" collapsed="false">
      <c r="A44" s="3" t="s">
        <v>2667</v>
      </c>
      <c r="B44" s="170" t="n">
        <f aca="false">B43*$B$7</f>
        <v>0</v>
      </c>
      <c r="C44" s="170" t="n">
        <f aca="false">C43*$B$7</f>
        <v>0</v>
      </c>
      <c r="D44" s="170" t="n">
        <f aca="false">D43*$B$7</f>
        <v>0</v>
      </c>
      <c r="E44" s="170" t="n">
        <f aca="false">E43*$B$7</f>
        <v>0</v>
      </c>
      <c r="F44" s="170" t="n">
        <f aca="false">F43*$B$7</f>
        <v>0</v>
      </c>
      <c r="G44" s="170" t="n">
        <f aca="false">G43*$B$7</f>
        <v>0</v>
      </c>
      <c r="H44" s="170" t="n">
        <f aca="false">H43*$B$7</f>
        <v>357</v>
      </c>
      <c r="I44" s="170" t="n">
        <f aca="false">I43*$B$7</f>
        <v>357</v>
      </c>
      <c r="J44" s="170" t="n">
        <f aca="false">J43*$B$7</f>
        <v>714</v>
      </c>
      <c r="K44" s="170" t="n">
        <f aca="false">K43*$B$7</f>
        <v>1071</v>
      </c>
      <c r="L44" s="170" t="n">
        <f aca="false">L43*$B$7</f>
        <v>1428</v>
      </c>
      <c r="M44" s="170" t="n">
        <f aca="false">M43*$B$7</f>
        <v>1785</v>
      </c>
      <c r="N44" s="170" t="n">
        <f aca="false">N43*$B$7</f>
        <v>2142</v>
      </c>
      <c r="O44" s="170" t="n">
        <f aca="false">O43*$B$7</f>
        <v>2866.71</v>
      </c>
      <c r="P44" s="170" t="n">
        <f aca="false">P43*$B$7</f>
        <v>3223.71</v>
      </c>
      <c r="Q44" s="170" t="n">
        <f aca="false">Q43*$B$7</f>
        <v>3580.71</v>
      </c>
      <c r="R44" s="171" t="n">
        <f aca="false">SUM(B44:E44)</f>
        <v>0</v>
      </c>
      <c r="S44" s="171" t="n">
        <f aca="false">SUM(F44:Q44)</f>
        <v>17525.13</v>
      </c>
    </row>
    <row r="45" customFormat="false" ht="14.25" hidden="false" customHeight="true" outlineLevel="0" collapsed="false">
      <c r="A45" s="3" t="s">
        <v>2289</v>
      </c>
      <c r="B45" s="170" t="n">
        <f aca="false">B43*$B$8</f>
        <v>0</v>
      </c>
      <c r="C45" s="170" t="n">
        <f aca="false">C43*$B$8</f>
        <v>0</v>
      </c>
      <c r="D45" s="170" t="n">
        <f aca="false">D43*$B$8</f>
        <v>0</v>
      </c>
      <c r="E45" s="170" t="n">
        <f aca="false">E43*$B$8</f>
        <v>0</v>
      </c>
      <c r="F45" s="170" t="n">
        <f aca="false">F43*$B$8</f>
        <v>0</v>
      </c>
      <c r="G45" s="170" t="n">
        <f aca="false">G43*$B$8</f>
        <v>0</v>
      </c>
      <c r="H45" s="170" t="n">
        <f aca="false">H43*$B$8</f>
        <v>861</v>
      </c>
      <c r="I45" s="170" t="n">
        <f aca="false">I43*$B$8</f>
        <v>861</v>
      </c>
      <c r="J45" s="170" t="n">
        <f aca="false">J43*$B$8</f>
        <v>1722</v>
      </c>
      <c r="K45" s="170" t="n">
        <f aca="false">K43*$B$8</f>
        <v>2583</v>
      </c>
      <c r="L45" s="170" t="n">
        <f aca="false">L43*$B$8</f>
        <v>3444</v>
      </c>
      <c r="M45" s="170" t="n">
        <f aca="false">M43*$B$8</f>
        <v>4305</v>
      </c>
      <c r="N45" s="170" t="n">
        <f aca="false">N43*$B$8</f>
        <v>5166</v>
      </c>
      <c r="O45" s="170" t="n">
        <f aca="false">O43*$B$8</f>
        <v>6913.83</v>
      </c>
      <c r="P45" s="170" t="n">
        <f aca="false">P43*$B$8</f>
        <v>7774.83</v>
      </c>
      <c r="Q45" s="170" t="n">
        <f aca="false">Q43*$B$8</f>
        <v>8635.83</v>
      </c>
      <c r="R45" s="171" t="n">
        <f aca="false">SUM(B45:E45)</f>
        <v>0</v>
      </c>
      <c r="S45" s="171" t="n">
        <f aca="false">SUM(F45:Q45)</f>
        <v>42266.49</v>
      </c>
    </row>
    <row r="46" customFormat="false" ht="14.25" hidden="false" customHeight="true" outlineLevel="0" collapsed="false">
      <c r="A46" s="3" t="s">
        <v>2674</v>
      </c>
      <c r="B46" s="170" t="n">
        <f aca="false">B42*$B$9</f>
        <v>0</v>
      </c>
      <c r="C46" s="170" t="n">
        <f aca="false">C42*$B$9</f>
        <v>0</v>
      </c>
      <c r="D46" s="170" t="n">
        <f aca="false">D42*$B$9</f>
        <v>0</v>
      </c>
      <c r="E46" s="170" t="n">
        <f aca="false">E42*$B$9</f>
        <v>0</v>
      </c>
      <c r="F46" s="170" t="n">
        <f aca="false">F42*$B$9</f>
        <v>0</v>
      </c>
      <c r="G46" s="170" t="n">
        <f aca="false">G42*$B$9</f>
        <v>0</v>
      </c>
      <c r="H46" s="170" t="n">
        <f aca="false">H42*$B$9</f>
        <v>2000</v>
      </c>
      <c r="I46" s="170" t="n">
        <f aca="false">I42*$B$9</f>
        <v>0</v>
      </c>
      <c r="J46" s="170" t="n">
        <f aca="false">J42*$B$9</f>
        <v>2000</v>
      </c>
      <c r="K46" s="170" t="n">
        <f aca="false">K42*$B$9</f>
        <v>2000</v>
      </c>
      <c r="L46" s="170" t="n">
        <f aca="false">L42*$B$9</f>
        <v>2000</v>
      </c>
      <c r="M46" s="170" t="n">
        <f aca="false">M42*$B$9</f>
        <v>2000</v>
      </c>
      <c r="N46" s="170" t="n">
        <f aca="false">N42*$B$9</f>
        <v>2000</v>
      </c>
      <c r="O46" s="170" t="n">
        <f aca="false">O42*$B$9</f>
        <v>4000</v>
      </c>
      <c r="P46" s="170" t="n">
        <f aca="false">P42*$B$9</f>
        <v>2000</v>
      </c>
      <c r="Q46" s="170" t="n">
        <f aca="false">Q42*$B$9</f>
        <v>2000</v>
      </c>
      <c r="R46" s="171" t="n">
        <f aca="false">SUM(B46:E46)</f>
        <v>0</v>
      </c>
      <c r="S46" s="171" t="n">
        <f aca="false">SUM(F46:Q46)</f>
        <v>20000</v>
      </c>
    </row>
    <row r="47" customFormat="false" ht="14.25" hidden="false" customHeight="true" outlineLevel="0" collapsed="false">
      <c r="A47" s="172" t="s">
        <v>2682</v>
      </c>
      <c r="B47" s="173" t="n">
        <f aca="false">SUM(B43:B46)</f>
        <v>0</v>
      </c>
      <c r="C47" s="173" t="n">
        <f aca="false">SUM(C43:C46)</f>
        <v>0</v>
      </c>
      <c r="D47" s="173" t="n">
        <f aca="false">SUM(D43:D46)</f>
        <v>0</v>
      </c>
      <c r="E47" s="173" t="n">
        <f aca="false">SUM(E43:E46)</f>
        <v>0</v>
      </c>
      <c r="F47" s="173" t="n">
        <f aca="false">SUM(F43:F46)</f>
        <v>0</v>
      </c>
      <c r="G47" s="173" t="n">
        <f aca="false">SUM(G43:G46)</f>
        <v>0</v>
      </c>
      <c r="H47" s="173" t="n">
        <f aca="false">SUM(H43:H46)</f>
        <v>8468</v>
      </c>
      <c r="I47" s="173" t="n">
        <f aca="false">SUM(I43:I46)</f>
        <v>6468</v>
      </c>
      <c r="J47" s="173" t="n">
        <f aca="false">SUM(J43:J46)</f>
        <v>14936</v>
      </c>
      <c r="K47" s="173" t="n">
        <f aca="false">SUM(K43:K46)</f>
        <v>21404</v>
      </c>
      <c r="L47" s="173" t="n">
        <f aca="false">SUM(L43:L46)</f>
        <v>27872</v>
      </c>
      <c r="M47" s="173" t="n">
        <f aca="false">SUM(M43:M46)</f>
        <v>34340</v>
      </c>
      <c r="N47" s="173" t="n">
        <f aca="false">SUM(N43:N46)</f>
        <v>40808</v>
      </c>
      <c r="O47" s="173" t="n">
        <f aca="false">SUM(O43:O46)</f>
        <v>55938.04</v>
      </c>
      <c r="P47" s="173" t="n">
        <f aca="false">SUM(P43:P46)</f>
        <v>60406.04</v>
      </c>
      <c r="Q47" s="173" t="n">
        <f aca="false">SUM(Q43:Q46)</f>
        <v>66874.04</v>
      </c>
      <c r="R47" s="174" t="n">
        <f aca="false">SUM(B47:E47)</f>
        <v>0</v>
      </c>
      <c r="S47" s="174" t="n">
        <f aca="false">SUM(F47:Q47)</f>
        <v>337514.12</v>
      </c>
    </row>
    <row r="48" customFormat="false" ht="14.25" hidden="false" customHeight="true" outlineLevel="0" collapsed="false"/>
    <row r="49" customFormat="false" ht="14.25" hidden="false" customHeight="true" outlineLevel="0" collapsed="false">
      <c r="A49" s="167" t="s">
        <v>2683</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2664</v>
      </c>
      <c r="S49" s="80" t="s">
        <v>2325</v>
      </c>
    </row>
    <row r="50" customFormat="false" ht="14.25" hidden="false" customHeight="true" outlineLevel="0" collapsed="false">
      <c r="A50" s="3" t="s">
        <v>2684</v>
      </c>
      <c r="B50" s="168" t="n">
        <f aca="false">B20+B30+B41</f>
        <v>14</v>
      </c>
      <c r="C50" s="168" t="n">
        <f aca="false">C20+C30+C41</f>
        <v>14</v>
      </c>
      <c r="D50" s="168" t="n">
        <f aca="false">D20+D30+D41</f>
        <v>14</v>
      </c>
      <c r="E50" s="168" t="n">
        <f aca="false">E20+E30+E41</f>
        <v>17</v>
      </c>
      <c r="F50" s="168" t="n">
        <f aca="false">F20+F30+F41</f>
        <v>19</v>
      </c>
      <c r="G50" s="168" t="n">
        <f aca="false">G20+G30+G41</f>
        <v>19</v>
      </c>
      <c r="H50" s="168" t="n">
        <f aca="false">H20+H30+H41</f>
        <v>23</v>
      </c>
      <c r="I50" s="168" t="n">
        <f aca="false">I20+I30+I41</f>
        <v>26</v>
      </c>
      <c r="J50" s="168" t="n">
        <f aca="false">J20+J30+J41</f>
        <v>31</v>
      </c>
      <c r="K50" s="168" t="n">
        <f aca="false">K20+K30+K41</f>
        <v>36</v>
      </c>
      <c r="L50" s="168" t="n">
        <f aca="false">L20+L30+L41</f>
        <v>42</v>
      </c>
      <c r="M50" s="168" t="n">
        <f aca="false">M20+M30+M41</f>
        <v>49</v>
      </c>
      <c r="N50" s="168" t="n">
        <f aca="false">N20+N30+N41</f>
        <v>56</v>
      </c>
      <c r="O50" s="168" t="n">
        <f aca="false">O20+O30+O41</f>
        <v>65</v>
      </c>
      <c r="P50" s="168" t="n">
        <f aca="false">P20+P30+P41</f>
        <v>74</v>
      </c>
      <c r="Q50" s="168" t="n">
        <f aca="false">Q20+Q30+Q41</f>
        <v>82</v>
      </c>
      <c r="R50" s="169" t="n">
        <f aca="false">AVERAGE(B50:E50)</f>
        <v>14.75</v>
      </c>
      <c r="S50" s="169" t="n">
        <f aca="false">AVERAGE(F50:Q50)</f>
        <v>43.5</v>
      </c>
      <c r="T50" s="78"/>
    </row>
    <row r="51" customFormat="false" ht="14.25" hidden="false" customHeight="true" outlineLevel="0" collapsed="false">
      <c r="A51" s="3" t="s">
        <v>2685</v>
      </c>
      <c r="B51" s="168" t="n">
        <f aca="false" t="array" ref="B51:B51">IF($M$14="No",0,MAX($M$12,INT(INDEX($B$50:$Q$50,MIN(B$27+$B$10,COLUMNS($B$50:$Q$50)))/$M$11)))</f>
        <v>0</v>
      </c>
      <c r="C51" s="168" t="n">
        <f aca="false">IF($M$14="No",0,MAX(B51,$M$12,INT(INDEX($B$50:$Q$50,MIN(C$27+$B$10,COLUMNS($B$50:$Q$50)))/$M$11)))</f>
        <v>0</v>
      </c>
      <c r="D51" s="168" t="n">
        <f aca="false">IF($M$14="No",0,MAX(C51,$M$12,INT(INDEX($B$50:$Q$50,MIN(D$27+$B$10,COLUMNS($B$50:$Q$50)))/$M$11)))</f>
        <v>0</v>
      </c>
      <c r="E51" s="168" t="n">
        <f aca="false">IF($M$14="No",0,MAX(D51,$M$12,INT(INDEX($B$50:$Q$50,MIN(E$27+$B$10,COLUMNS($B$50:$Q$50)))/$M$11)))</f>
        <v>0</v>
      </c>
      <c r="F51" s="168" t="n">
        <f aca="false">IF($M$14="No",0,MAX(E51,$M$12,INT(INDEX($B$50:$Q$50,MIN(F$27+$B$10,COLUMNS($B$50:$Q$50)))/$M$11)))</f>
        <v>0</v>
      </c>
      <c r="G51" s="168" t="n">
        <f aca="false">IF($M$14="No",0,MAX(F51,$M$12,INT(INDEX($B$50:$Q$50,MIN(G$27+$B$10,COLUMNS($B$50:$Q$50)))/$M$11)))</f>
        <v>0</v>
      </c>
      <c r="H51" s="168" t="n">
        <f aca="false">IF($M$14="No",0,MAX(G51,$M$12,INT(INDEX($B$50:$Q$50,MIN(H$27+$B$10,COLUMNS($B$50:$Q$50)))/$M$11)))</f>
        <v>0</v>
      </c>
      <c r="I51" s="168" t="n">
        <f aca="false">IF($M$14="No",0,MAX(H51,$M$12,INT(INDEX($B$50:$Q$50,MIN(I$27+$B$10,COLUMNS($B$50:$Q$50)))/$M$11)))</f>
        <v>0</v>
      </c>
      <c r="J51" s="168" t="n">
        <f aca="false">IF($M$14="No",0,MAX(I51,$M$12,INT(INDEX($B$50:$Q$50,MIN(J$27+$B$10,COLUMNS($B$50:$Q$50)))/$M$11)))</f>
        <v>0</v>
      </c>
      <c r="K51" s="168" t="n">
        <f aca="false">IF($M$14="No",0,MAX(J51,$M$12,INT(INDEX($B$50:$Q$50,MIN(K$27+$B$10,COLUMNS($B$50:$Q$50)))/$M$11)))</f>
        <v>0</v>
      </c>
      <c r="L51" s="168" t="n">
        <f aca="false">IF($M$14="No",0,MAX(K51,$M$12,INT(INDEX($B$50:$Q$50,MIN(L$27+$B$10,COLUMNS($B$50:$Q$50)))/$M$11)))</f>
        <v>0</v>
      </c>
      <c r="M51" s="168" t="n">
        <f aca="false">IF($M$14="No",0,MAX(L51,$M$12,INT(INDEX($B$50:$Q$50,MIN(M$27+$B$10,COLUMNS($B$50:$Q$50)))/$M$11)))</f>
        <v>0</v>
      </c>
      <c r="N51" s="168" t="n">
        <f aca="false">IF($M$14="No",0,MAX(M51,$M$12,INT(INDEX($B$50:$Q$50,MIN(N$27+$B$10,COLUMNS($B$50:$Q$50)))/$M$11)))</f>
        <v>0</v>
      </c>
      <c r="O51" s="168" t="n">
        <f aca="false">IF($M$14="No",0,MAX(N51,$M$12,INT(INDEX($B$50:$Q$50,MIN(O$27+$B$10,COLUMNS($B$50:$Q$50)))/$M$11)))</f>
        <v>0</v>
      </c>
      <c r="P51" s="168" t="n">
        <f aca="false">IF($M$14="No",0,MAX(O51,$M$12,INT(INDEX($B$50:$Q$50,MIN(P$27+$B$10,COLUMNS($B$50:$Q$50)))/$M$11)))</f>
        <v>0</v>
      </c>
      <c r="Q51" s="168" t="n">
        <f aca="false">IF($M$14="No",0,MAX(P51,$M$12,INT(INDEX($B$50:$Q$50,MIN(Q$27+$B$10,COLUMNS($B$50:$Q$50)))/$M$11)))</f>
        <v>0</v>
      </c>
      <c r="R51" s="169" t="n">
        <f aca="false">AVERAGE(B51:E51)</f>
        <v>0</v>
      </c>
      <c r="S51" s="169" t="n">
        <f aca="false">AVERAGE(F51:Q51)</f>
        <v>0</v>
      </c>
      <c r="T51" s="78"/>
    </row>
    <row r="52" customFormat="false" ht="14.25" hidden="false" customHeight="true" outlineLevel="0" collapsed="false">
      <c r="A52" s="3" t="s">
        <v>2686</v>
      </c>
      <c r="B52" s="168" t="n">
        <f aca="false">IF($M$14="No",0,$M$13)</f>
        <v>0</v>
      </c>
      <c r="C52" s="168" t="n">
        <f aca="false">IF($M$14="No",0,$M$13)</f>
        <v>0</v>
      </c>
      <c r="D52" s="168" t="n">
        <f aca="false">IF($M$14="No",0,$M$13)</f>
        <v>0</v>
      </c>
      <c r="E52" s="168" t="n">
        <f aca="false">IF($M$14="No",0,$M$13)</f>
        <v>0</v>
      </c>
      <c r="F52" s="168" t="n">
        <f aca="false">IF($M$14="No",0,$M$13)</f>
        <v>0</v>
      </c>
      <c r="G52" s="168" t="n">
        <f aca="false">IF($M$14="No",0,$M$13)</f>
        <v>0</v>
      </c>
      <c r="H52" s="168" t="n">
        <f aca="false">IF($M$14="No",0,$M$13)</f>
        <v>0</v>
      </c>
      <c r="I52" s="168" t="n">
        <f aca="false">IF($M$14="No",0,$M$13)</f>
        <v>0</v>
      </c>
      <c r="J52" s="168" t="n">
        <f aca="false">IF($M$14="No",0,$M$13)</f>
        <v>0</v>
      </c>
      <c r="K52" s="168" t="n">
        <f aca="false">IF($M$14="No",0,$M$13)</f>
        <v>0</v>
      </c>
      <c r="L52" s="168" t="n">
        <f aca="false">IF($M$14="No",0,$M$13)</f>
        <v>0</v>
      </c>
      <c r="M52" s="168" t="n">
        <f aca="false">IF($M$14="No",0,$M$13)</f>
        <v>0</v>
      </c>
      <c r="N52" s="168" t="n">
        <f aca="false">IF($M$14="No",0,$M$13)</f>
        <v>0</v>
      </c>
      <c r="O52" s="168" t="n">
        <f aca="false">IF($M$14="No",0,$M$13)</f>
        <v>0</v>
      </c>
      <c r="P52" s="168" t="n">
        <f aca="false">IF($M$14="No",0,$M$13)</f>
        <v>0</v>
      </c>
      <c r="Q52" s="168" t="n">
        <f aca="false">IF($M$14="No",0,$M$13)</f>
        <v>0</v>
      </c>
      <c r="R52" s="169" t="n">
        <f aca="false">AVERAGE(B52:E52)</f>
        <v>0</v>
      </c>
      <c r="S52" s="169" t="n">
        <f aca="false">AVERAGE(F52:Q52)</f>
        <v>0</v>
      </c>
      <c r="T52" s="78"/>
    </row>
    <row r="53" customFormat="false" ht="14.25" hidden="false" customHeight="true" outlineLevel="0" collapsed="false">
      <c r="A53" s="3" t="s">
        <v>2687</v>
      </c>
      <c r="B53" s="168" t="n">
        <f aca="false">MAX(0,B51-B52)</f>
        <v>0</v>
      </c>
      <c r="C53" s="168" t="n">
        <f aca="false">MAX(0,C51-C52)</f>
        <v>0</v>
      </c>
      <c r="D53" s="168" t="n">
        <f aca="false">MAX(0,D51-D52)</f>
        <v>0</v>
      </c>
      <c r="E53" s="168" t="n">
        <f aca="false">MAX(0,E51-E52)</f>
        <v>0</v>
      </c>
      <c r="F53" s="168" t="n">
        <f aca="false">MAX(0,F51-F52)</f>
        <v>0</v>
      </c>
      <c r="G53" s="168" t="n">
        <f aca="false">MAX(0,G51-G52)</f>
        <v>0</v>
      </c>
      <c r="H53" s="168" t="n">
        <f aca="false">MAX(0,H51-H52)</f>
        <v>0</v>
      </c>
      <c r="I53" s="168" t="n">
        <f aca="false">MAX(0,I51-I52)</f>
        <v>0</v>
      </c>
      <c r="J53" s="168" t="n">
        <f aca="false">MAX(0,J51-J52)</f>
        <v>0</v>
      </c>
      <c r="K53" s="168" t="n">
        <f aca="false">MAX(0,K51-K52)</f>
        <v>0</v>
      </c>
      <c r="L53" s="168" t="n">
        <f aca="false">MAX(0,L51-L52)</f>
        <v>0</v>
      </c>
      <c r="M53" s="168" t="n">
        <f aca="false">MAX(0,M51-M52)</f>
        <v>0</v>
      </c>
      <c r="N53" s="168" t="n">
        <f aca="false">MAX(0,N51-N52)</f>
        <v>0</v>
      </c>
      <c r="O53" s="168" t="n">
        <f aca="false">MAX(0,O51-O52)</f>
        <v>0</v>
      </c>
      <c r="P53" s="168" t="n">
        <f aca="false">MAX(0,P51-P52)</f>
        <v>0</v>
      </c>
      <c r="Q53" s="168" t="n">
        <f aca="false">MAX(0,Q51-Q52)</f>
        <v>0</v>
      </c>
      <c r="R53" s="169" t="n">
        <f aca="false">AVERAGE(B53:E53)</f>
        <v>0</v>
      </c>
      <c r="S53" s="169" t="n">
        <f aca="false">AVERAGE(F53:Q53)</f>
        <v>0</v>
      </c>
      <c r="T53" s="78"/>
    </row>
    <row r="54" customFormat="false" ht="14.25" hidden="false" customHeight="true" outlineLevel="0" collapsed="false">
      <c r="A54" s="3" t="s">
        <v>2688</v>
      </c>
      <c r="B54" s="168" t="n">
        <f aca="false">B52+B53</f>
        <v>0</v>
      </c>
      <c r="C54" s="168" t="n">
        <f aca="false">C52+C53</f>
        <v>0</v>
      </c>
      <c r="D54" s="168" t="n">
        <f aca="false">D52+D53</f>
        <v>0</v>
      </c>
      <c r="E54" s="168" t="n">
        <f aca="false">E52+E53</f>
        <v>0</v>
      </c>
      <c r="F54" s="168" t="n">
        <f aca="false">F52+F53</f>
        <v>0</v>
      </c>
      <c r="G54" s="168" t="n">
        <f aca="false">G52+G53</f>
        <v>0</v>
      </c>
      <c r="H54" s="168" t="n">
        <f aca="false">H52+H53</f>
        <v>0</v>
      </c>
      <c r="I54" s="168" t="n">
        <f aca="false">I52+I53</f>
        <v>0</v>
      </c>
      <c r="J54" s="168" t="n">
        <f aca="false">J52+J53</f>
        <v>0</v>
      </c>
      <c r="K54" s="168" t="n">
        <f aca="false">K52+K53</f>
        <v>0</v>
      </c>
      <c r="L54" s="168" t="n">
        <f aca="false">L52+L53</f>
        <v>0</v>
      </c>
      <c r="M54" s="168" t="n">
        <f aca="false">M52+M53</f>
        <v>0</v>
      </c>
      <c r="N54" s="168" t="n">
        <f aca="false">N52+N53</f>
        <v>0</v>
      </c>
      <c r="O54" s="168" t="n">
        <f aca="false">O52+O53</f>
        <v>0</v>
      </c>
      <c r="P54" s="168" t="n">
        <f aca="false">P52+P53</f>
        <v>0</v>
      </c>
      <c r="Q54" s="168" t="n">
        <f aca="false">Q52+Q53</f>
        <v>0</v>
      </c>
      <c r="R54" s="169" t="n">
        <f aca="false">AVERAGE(B54:E54)</f>
        <v>0</v>
      </c>
      <c r="S54" s="169" t="n">
        <f aca="false">AVERAGE(F54:Q54)</f>
        <v>0</v>
      </c>
      <c r="T54" s="78"/>
    </row>
    <row r="55" customFormat="false" ht="14.25" hidden="false" customHeight="true" outlineLevel="0" collapsed="false">
      <c r="A55" s="3" t="s">
        <v>2689</v>
      </c>
      <c r="B55" s="168" t="n">
        <f aca="false">B53</f>
        <v>0</v>
      </c>
      <c r="C55" s="168" t="n">
        <f aca="false">MAX(0,C53-B53)</f>
        <v>0</v>
      </c>
      <c r="D55" s="168" t="n">
        <f aca="false">MAX(0,D53-C53)</f>
        <v>0</v>
      </c>
      <c r="E55" s="168" t="n">
        <f aca="false">MAX(0,E53-D53)</f>
        <v>0</v>
      </c>
      <c r="F55" s="168" t="n">
        <f aca="false">MAX(0,F53-E53)</f>
        <v>0</v>
      </c>
      <c r="G55" s="168" t="n">
        <f aca="false">MAX(0,G53-F53)</f>
        <v>0</v>
      </c>
      <c r="H55" s="168" t="n">
        <f aca="false">MAX(0,H53-G53)</f>
        <v>0</v>
      </c>
      <c r="I55" s="168" t="n">
        <f aca="false">MAX(0,I53-H53)</f>
        <v>0</v>
      </c>
      <c r="J55" s="168" t="n">
        <f aca="false">MAX(0,J53-I53)</f>
        <v>0</v>
      </c>
      <c r="K55" s="168" t="n">
        <f aca="false">MAX(0,K53-J53)</f>
        <v>0</v>
      </c>
      <c r="L55" s="168" t="n">
        <f aca="false">MAX(0,L53-K53)</f>
        <v>0</v>
      </c>
      <c r="M55" s="168" t="n">
        <f aca="false">MAX(0,M53-L53)</f>
        <v>0</v>
      </c>
      <c r="N55" s="168" t="n">
        <f aca="false">MAX(0,N53-M53)</f>
        <v>0</v>
      </c>
      <c r="O55" s="168" t="n">
        <f aca="false">MAX(0,O53-N53)</f>
        <v>0</v>
      </c>
      <c r="P55" s="168" t="n">
        <f aca="false">MAX(0,P53-O53)</f>
        <v>0</v>
      </c>
      <c r="Q55" s="168" t="n">
        <f aca="false">MAX(0,Q53-P53)</f>
        <v>0</v>
      </c>
      <c r="R55" s="179" t="n">
        <f aca="false">SUM(B55:E55)</f>
        <v>0</v>
      </c>
      <c r="S55" s="179" t="n">
        <f aca="false">SUM(F55:Q55)</f>
        <v>0</v>
      </c>
      <c r="T55" s="78"/>
    </row>
    <row r="56" customFormat="false" ht="14.25" hidden="false" customHeight="true" outlineLevel="0" collapsed="false">
      <c r="A56" s="3" t="s">
        <v>2666</v>
      </c>
      <c r="B56" s="170" t="n">
        <f aca="false">B54*$B$6/12+IF(B$26&gt;=$M$6,MIN(B54,INDEX($B54:$Q54,IFERROR(MATCH(EOMONTH($M$6,-$M$7-1),$B$26:$Q$26,0),1)))*$B$6/12*$M$5,0)</f>
        <v>0</v>
      </c>
      <c r="C56" s="170" t="n">
        <f aca="false">C54*$B$6/12+IF(C$26&gt;=$M$6,MIN(C54,INDEX($B54:$Q54,IFERROR(MATCH(EOMONTH($M$6,-$M$7-1),$B$26:$Q$26,0),1)))*$B$6/12*$M$5,0)</f>
        <v>0</v>
      </c>
      <c r="D56" s="170" t="n">
        <f aca="false">D54*$B$6/12+IF(D$26&gt;=$M$6,MIN(D54,INDEX($B54:$Q54,IFERROR(MATCH(EOMONTH($M$6,-$M$7-1),$B$26:$Q$26,0),1)))*$B$6/12*$M$5,0)</f>
        <v>0</v>
      </c>
      <c r="E56" s="170" t="n">
        <f aca="false">E54*$B$6/12+IF(E$26&gt;=$M$6,MIN(E54,INDEX($B54:$Q54,IFERROR(MATCH(EOMONTH($M$6,-$M$7-1),$B$26:$Q$26,0),1)))*$B$6/12*$M$5,0)</f>
        <v>0</v>
      </c>
      <c r="F56" s="170" t="n">
        <f aca="false">F54*$B$6/12+IF(F$26&gt;=$M$6,MIN(F54,INDEX($B54:$Q54,IFERROR(MATCH(EOMONTH($M$6,-$M$7-1),$B$26:$Q$26,0),1)))*$B$6/12*$M$5,0)</f>
        <v>0</v>
      </c>
      <c r="G56" s="170" t="n">
        <f aca="false">G54*$B$6/12+IF(G$26&gt;=$M$6,MIN(G54,INDEX($B54:$Q54,IFERROR(MATCH(EOMONTH($M$6,-$M$7-1),$B$26:$Q$26,0),1)))*$B$6/12*$M$5,0)</f>
        <v>0</v>
      </c>
      <c r="H56" s="170" t="n">
        <f aca="false">H54*$B$6/12+IF(H$26&gt;=$M$6,MIN(H54,INDEX($B54:$Q54,IFERROR(MATCH(EOMONTH($M$6,-$M$7-1),$B$26:$Q$26,0),1)))*$B$6/12*$M$5,0)</f>
        <v>0</v>
      </c>
      <c r="I56" s="170" t="n">
        <f aca="false">I54*$B$6/12+IF(I$26&gt;=$M$6,MIN(I54,INDEX($B54:$Q54,IFERROR(MATCH(EOMONTH($M$6,-$M$7-1),$B$26:$Q$26,0),1)))*$B$6/12*$M$5,0)</f>
        <v>0</v>
      </c>
      <c r="J56" s="170" t="n">
        <f aca="false">J54*$B$6/12+IF(J$26&gt;=$M$6,MIN(J54,INDEX($B54:$Q54,IFERROR(MATCH(EOMONTH($M$6,-$M$7-1),$B$26:$Q$26,0),1)))*$B$6/12*$M$5,0)</f>
        <v>0</v>
      </c>
      <c r="K56" s="170" t="n">
        <f aca="false">K54*$B$6/12+IF(K$26&gt;=$M$6,MIN(K54,INDEX($B54:$Q54,IFERROR(MATCH(EOMONTH($M$6,-$M$7-1),$B$26:$Q$26,0),1)))*$B$6/12*$M$5,0)</f>
        <v>0</v>
      </c>
      <c r="L56" s="170" t="n">
        <f aca="false">L54*$B$6/12+IF(L$26&gt;=$M$6,MIN(L54,INDEX($B54:$Q54,IFERROR(MATCH(EOMONTH($M$6,-$M$7-1),$B$26:$Q$26,0),1)))*$B$6/12*$M$5,0)</f>
        <v>0</v>
      </c>
      <c r="M56" s="170" t="n">
        <f aca="false">M54*$B$6/12+IF(M$26&gt;=$M$6,MIN(M54,INDEX($B54:$Q54,IFERROR(MATCH(EOMONTH($M$6,-$M$7-1),$B$26:$Q$26,0),1)))*$B$6/12*$M$5,0)</f>
        <v>0</v>
      </c>
      <c r="N56" s="170" t="n">
        <f aca="false">N54*$B$6/12+IF(N$26&gt;=$M$6,MIN(N54,INDEX($B54:$Q54,IFERROR(MATCH(EOMONTH($M$6,-$M$7-1),$B$26:$Q$26,0),1)))*$B$6/12*$M$5,0)</f>
        <v>0</v>
      </c>
      <c r="O56" s="170" t="n">
        <f aca="false">O54*$B$6/12+IF(O$26&gt;=$M$6,MIN(O54,INDEX($B54:$Q54,IFERROR(MATCH(EOMONTH($M$6,-$M$7-1),$B$26:$Q$26,0),1)))*$B$6/12*$M$5,0)</f>
        <v>0</v>
      </c>
      <c r="P56" s="170" t="n">
        <f aca="false">P54*$B$6/12+IF(P$26&gt;=$M$6,MIN(P54,INDEX($B54:$Q54,IFERROR(MATCH(EOMONTH($M$6,-$M$7-1),$B$26:$Q$26,0),1)))*$B$6/12*$M$5,0)</f>
        <v>0</v>
      </c>
      <c r="Q56" s="170" t="n">
        <f aca="false">Q54*$B$6/12+IF(Q$26&gt;=$M$6,MIN(Q54,INDEX($B54:$Q54,IFERROR(MATCH(EOMONTH($M$6,-$M$7-1),$B$26:$Q$26,0),1)))*$B$6/12*$M$5,0)</f>
        <v>0</v>
      </c>
      <c r="R56" s="171" t="n">
        <f aca="false">SUM(B56:E56)</f>
        <v>0</v>
      </c>
      <c r="S56" s="171" t="n">
        <f aca="false">SUM(F56:Q56)</f>
        <v>0</v>
      </c>
    </row>
    <row r="57" customFormat="false" ht="14.25" hidden="false" customHeight="true" outlineLevel="0" collapsed="false">
      <c r="A57" s="3" t="s">
        <v>2667</v>
      </c>
      <c r="B57" s="170" t="n">
        <f aca="false">B56*$B$7</f>
        <v>0</v>
      </c>
      <c r="C57" s="170" t="n">
        <f aca="false">C56*$B$7</f>
        <v>0</v>
      </c>
      <c r="D57" s="170" t="n">
        <f aca="false">D56*$B$7</f>
        <v>0</v>
      </c>
      <c r="E57" s="170" t="n">
        <f aca="false">E56*$B$7</f>
        <v>0</v>
      </c>
      <c r="F57" s="170" t="n">
        <f aca="false">F56*$B$7</f>
        <v>0</v>
      </c>
      <c r="G57" s="170" t="n">
        <f aca="false">G56*$B$7</f>
        <v>0</v>
      </c>
      <c r="H57" s="170" t="n">
        <f aca="false">H56*$B$7</f>
        <v>0</v>
      </c>
      <c r="I57" s="170" t="n">
        <f aca="false">I56*$B$7</f>
        <v>0</v>
      </c>
      <c r="J57" s="170" t="n">
        <f aca="false">J56*$B$7</f>
        <v>0</v>
      </c>
      <c r="K57" s="170" t="n">
        <f aca="false">K56*$B$7</f>
        <v>0</v>
      </c>
      <c r="L57" s="170" t="n">
        <f aca="false">L56*$B$7</f>
        <v>0</v>
      </c>
      <c r="M57" s="170" t="n">
        <f aca="false">M56*$B$7</f>
        <v>0</v>
      </c>
      <c r="N57" s="170" t="n">
        <f aca="false">N56*$B$7</f>
        <v>0</v>
      </c>
      <c r="O57" s="170" t="n">
        <f aca="false">O56*$B$7</f>
        <v>0</v>
      </c>
      <c r="P57" s="170" t="n">
        <f aca="false">P56*$B$7</f>
        <v>0</v>
      </c>
      <c r="Q57" s="170" t="n">
        <f aca="false">Q56*$B$7</f>
        <v>0</v>
      </c>
      <c r="R57" s="171" t="n">
        <f aca="false">SUM(B57:E57)</f>
        <v>0</v>
      </c>
      <c r="S57" s="171" t="n">
        <f aca="false">SUM(F57:Q57)</f>
        <v>0</v>
      </c>
    </row>
    <row r="58" customFormat="false" ht="14.25" hidden="false" customHeight="true" outlineLevel="0" collapsed="false">
      <c r="A58" s="3" t="s">
        <v>2289</v>
      </c>
      <c r="B58" s="170" t="n">
        <f aca="false">B56*$B$8</f>
        <v>0</v>
      </c>
      <c r="C58" s="170" t="n">
        <f aca="false">C56*$B$8</f>
        <v>0</v>
      </c>
      <c r="D58" s="170" t="n">
        <f aca="false">D56*$B$8</f>
        <v>0</v>
      </c>
      <c r="E58" s="170" t="n">
        <f aca="false">E56*$B$8</f>
        <v>0</v>
      </c>
      <c r="F58" s="170" t="n">
        <f aca="false">F56*$B$8</f>
        <v>0</v>
      </c>
      <c r="G58" s="170" t="n">
        <f aca="false">G56*$B$8</f>
        <v>0</v>
      </c>
      <c r="H58" s="170" t="n">
        <f aca="false">H56*$B$8</f>
        <v>0</v>
      </c>
      <c r="I58" s="170" t="n">
        <f aca="false">I56*$B$8</f>
        <v>0</v>
      </c>
      <c r="J58" s="170" t="n">
        <f aca="false">J56*$B$8</f>
        <v>0</v>
      </c>
      <c r="K58" s="170" t="n">
        <f aca="false">K56*$B$8</f>
        <v>0</v>
      </c>
      <c r="L58" s="170" t="n">
        <f aca="false">L56*$B$8</f>
        <v>0</v>
      </c>
      <c r="M58" s="170" t="n">
        <f aca="false">M56*$B$8</f>
        <v>0</v>
      </c>
      <c r="N58" s="170" t="n">
        <f aca="false">N56*$B$8</f>
        <v>0</v>
      </c>
      <c r="O58" s="170" t="n">
        <f aca="false">O56*$B$8</f>
        <v>0</v>
      </c>
      <c r="P58" s="170" t="n">
        <f aca="false">P56*$B$8</f>
        <v>0</v>
      </c>
      <c r="Q58" s="170" t="n">
        <f aca="false">Q56*$B$8</f>
        <v>0</v>
      </c>
      <c r="R58" s="171" t="n">
        <f aca="false">SUM(B58:E58)</f>
        <v>0</v>
      </c>
      <c r="S58" s="171" t="n">
        <f aca="false">SUM(F58:Q58)</f>
        <v>0</v>
      </c>
    </row>
    <row r="59" customFormat="false" ht="14.25" hidden="false" customHeight="true" outlineLevel="0" collapsed="false">
      <c r="A59" s="3" t="s">
        <v>2674</v>
      </c>
      <c r="B59" s="170" t="n">
        <f aca="false">B55*$B$9</f>
        <v>0</v>
      </c>
      <c r="C59" s="170" t="n">
        <f aca="false">C55*$B$9</f>
        <v>0</v>
      </c>
      <c r="D59" s="170" t="n">
        <f aca="false">D55*$B$9</f>
        <v>0</v>
      </c>
      <c r="E59" s="170" t="n">
        <f aca="false">E55*$B$9</f>
        <v>0</v>
      </c>
      <c r="F59" s="170" t="n">
        <f aca="false">F55*$B$9</f>
        <v>0</v>
      </c>
      <c r="G59" s="170" t="n">
        <f aca="false">G55*$B$9</f>
        <v>0</v>
      </c>
      <c r="H59" s="170" t="n">
        <f aca="false">H55*$B$9</f>
        <v>0</v>
      </c>
      <c r="I59" s="170" t="n">
        <f aca="false">I55*$B$9</f>
        <v>0</v>
      </c>
      <c r="J59" s="170" t="n">
        <f aca="false">J55*$B$9</f>
        <v>0</v>
      </c>
      <c r="K59" s="170" t="n">
        <f aca="false">K55*$B$9</f>
        <v>0</v>
      </c>
      <c r="L59" s="170" t="n">
        <f aca="false">L55*$B$9</f>
        <v>0</v>
      </c>
      <c r="M59" s="170" t="n">
        <f aca="false">M55*$B$9</f>
        <v>0</v>
      </c>
      <c r="N59" s="170" t="n">
        <f aca="false">N55*$B$9</f>
        <v>0</v>
      </c>
      <c r="O59" s="170" t="n">
        <f aca="false">O55*$B$9</f>
        <v>0</v>
      </c>
      <c r="P59" s="170" t="n">
        <f aca="false">P55*$B$9</f>
        <v>0</v>
      </c>
      <c r="Q59" s="170" t="n">
        <f aca="false">Q55*$B$9</f>
        <v>0</v>
      </c>
      <c r="R59" s="171" t="n">
        <f aca="false">SUM(B59:E59)</f>
        <v>0</v>
      </c>
      <c r="S59" s="171" t="n">
        <f aca="false">SUM(F59:Q59)</f>
        <v>0</v>
      </c>
    </row>
    <row r="60" customFormat="false" ht="14.25" hidden="false" customHeight="true" outlineLevel="0" collapsed="false">
      <c r="A60" s="172" t="s">
        <v>2690</v>
      </c>
      <c r="B60" s="173" t="n">
        <f aca="false">SUM(B56:B59)</f>
        <v>0</v>
      </c>
      <c r="C60" s="173" t="n">
        <f aca="false">SUM(C56:C59)</f>
        <v>0</v>
      </c>
      <c r="D60" s="173" t="n">
        <f aca="false">SUM(D56:D59)</f>
        <v>0</v>
      </c>
      <c r="E60" s="173" t="n">
        <f aca="false">SUM(E56:E59)</f>
        <v>0</v>
      </c>
      <c r="F60" s="173" t="n">
        <f aca="false">SUM(F56:F59)</f>
        <v>0</v>
      </c>
      <c r="G60" s="173" t="n">
        <f aca="false">SUM(G56:G59)</f>
        <v>0</v>
      </c>
      <c r="H60" s="173" t="n">
        <f aca="false">SUM(H56:H59)</f>
        <v>0</v>
      </c>
      <c r="I60" s="173" t="n">
        <f aca="false">SUM(I56:I59)</f>
        <v>0</v>
      </c>
      <c r="J60" s="173" t="n">
        <f aca="false">SUM(J56:J59)</f>
        <v>0</v>
      </c>
      <c r="K60" s="173" t="n">
        <f aca="false">SUM(K56:K59)</f>
        <v>0</v>
      </c>
      <c r="L60" s="173" t="n">
        <f aca="false">SUM(L56:L59)</f>
        <v>0</v>
      </c>
      <c r="M60" s="173" t="n">
        <f aca="false">SUM(M56:M59)</f>
        <v>0</v>
      </c>
      <c r="N60" s="173" t="n">
        <f aca="false">SUM(N56:N59)</f>
        <v>0</v>
      </c>
      <c r="O60" s="173" t="n">
        <f aca="false">SUM(O56:O59)</f>
        <v>0</v>
      </c>
      <c r="P60" s="173" t="n">
        <f aca="false">SUM(P56:P59)</f>
        <v>0</v>
      </c>
      <c r="Q60" s="173" t="n">
        <f aca="false">SUM(Q56:Q59)</f>
        <v>0</v>
      </c>
      <c r="R60" s="174" t="n">
        <f aca="false">SUM(B60:E60)</f>
        <v>0</v>
      </c>
      <c r="S60" s="174" t="n">
        <f aca="false">SUM(F60:Q60)</f>
        <v>0</v>
      </c>
    </row>
    <row r="61" customFormat="false" ht="14.25" hidden="false" customHeight="true" outlineLevel="0" collapsed="false"/>
    <row r="62" customFormat="false" ht="14.25" hidden="false" customHeight="true" outlineLevel="0" collapsed="false">
      <c r="A62" s="167" t="s">
        <v>2691</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2664</v>
      </c>
      <c r="S62" s="80" t="s">
        <v>2325</v>
      </c>
    </row>
    <row r="63" customFormat="false" ht="14.25" hidden="false" customHeight="true" outlineLevel="0" collapsed="false">
      <c r="A63" s="3" t="s">
        <v>2692</v>
      </c>
      <c r="B63" s="168" t="n">
        <f aca="false">B50+B54</f>
        <v>14</v>
      </c>
      <c r="C63" s="168" t="n">
        <f aca="false">C50+C54</f>
        <v>14</v>
      </c>
      <c r="D63" s="168" t="n">
        <f aca="false">D50+D54</f>
        <v>14</v>
      </c>
      <c r="E63" s="168" t="n">
        <f aca="false">E50+E54</f>
        <v>17</v>
      </c>
      <c r="F63" s="168" t="n">
        <f aca="false">F50+F54</f>
        <v>19</v>
      </c>
      <c r="G63" s="168" t="n">
        <f aca="false">G50+G54</f>
        <v>19</v>
      </c>
      <c r="H63" s="168" t="n">
        <f aca="false">H50+H54</f>
        <v>23</v>
      </c>
      <c r="I63" s="168" t="n">
        <f aca="false">I50+I54</f>
        <v>26</v>
      </c>
      <c r="J63" s="168" t="n">
        <f aca="false">J50+J54</f>
        <v>31</v>
      </c>
      <c r="K63" s="168" t="n">
        <f aca="false">K50+K54</f>
        <v>36</v>
      </c>
      <c r="L63" s="168" t="n">
        <f aca="false">L50+L54</f>
        <v>42</v>
      </c>
      <c r="M63" s="168" t="n">
        <f aca="false">M50+M54</f>
        <v>49</v>
      </c>
      <c r="N63" s="168" t="n">
        <f aca="false">N50+N54</f>
        <v>56</v>
      </c>
      <c r="O63" s="168" t="n">
        <f aca="false">O50+O54</f>
        <v>65</v>
      </c>
      <c r="P63" s="168" t="n">
        <f aca="false">P50+P54</f>
        <v>74</v>
      </c>
      <c r="Q63" s="168" t="n">
        <f aca="false">Q50+Q54</f>
        <v>82</v>
      </c>
      <c r="R63" s="169" t="n">
        <f aca="false">AVERAGE(B63:E63)</f>
        <v>14.75</v>
      </c>
      <c r="S63" s="169" t="n">
        <f aca="false">AVERAGE(F63:Q63)</f>
        <v>43.5</v>
      </c>
      <c r="T63" s="78"/>
    </row>
    <row r="64" customFormat="false" ht="14.25" hidden="false" customHeight="true" outlineLevel="0" collapsed="false">
      <c r="A64" s="3" t="s">
        <v>2693</v>
      </c>
      <c r="B64" s="168" t="n">
        <f aca="false">MAX($H$9,ROUNDUP(B63/$H$8,0))</f>
        <v>1</v>
      </c>
      <c r="C64" s="168" t="n">
        <f aca="false">MAX(B64,$H$9,ROUNDUP(C63/$H$8,0))</f>
        <v>1</v>
      </c>
      <c r="D64" s="168" t="n">
        <f aca="false">MAX(C64,$H$9,ROUNDUP(D63/$H$8,0))</f>
        <v>1</v>
      </c>
      <c r="E64" s="168" t="n">
        <f aca="false">MAX(D64,$H$9,ROUNDUP(E63/$H$8,0))</f>
        <v>1</v>
      </c>
      <c r="F64" s="168" t="n">
        <f aca="false">MAX(E64,$H$9,ROUNDUP(F63/$H$8,0))</f>
        <v>1</v>
      </c>
      <c r="G64" s="168" t="n">
        <f aca="false">MAX(F64,$H$9,ROUNDUP(G63/$H$8,0))</f>
        <v>1</v>
      </c>
      <c r="H64" s="168" t="n">
        <f aca="false">MAX(G64,$H$9,ROUNDUP(H63/$H$8,0))</f>
        <v>2</v>
      </c>
      <c r="I64" s="168" t="n">
        <f aca="false">MAX(H64,$H$9,ROUNDUP(I63/$H$8,0))</f>
        <v>2</v>
      </c>
      <c r="J64" s="168" t="n">
        <f aca="false">MAX(I64,$H$9,ROUNDUP(J63/$H$8,0))</f>
        <v>2</v>
      </c>
      <c r="K64" s="168" t="n">
        <f aca="false">MAX(J64,$H$9,ROUNDUP(K63/$H$8,0))</f>
        <v>2</v>
      </c>
      <c r="L64" s="168" t="n">
        <f aca="false">MAX(K64,$H$9,ROUNDUP(L63/$H$8,0))</f>
        <v>3</v>
      </c>
      <c r="M64" s="168" t="n">
        <f aca="false">MAX(L64,$H$9,ROUNDUP(M63/$H$8,0))</f>
        <v>3</v>
      </c>
      <c r="N64" s="168" t="n">
        <f aca="false">MAX(M64,$H$9,ROUNDUP(N63/$H$8,0))</f>
        <v>3</v>
      </c>
      <c r="O64" s="168" t="n">
        <f aca="false">MAX(N64,$H$9,ROUNDUP(O63/$H$8,0))</f>
        <v>4</v>
      </c>
      <c r="P64" s="168" t="n">
        <f aca="false">MAX(O64,$H$9,ROUNDUP(P63/$H$8,0))</f>
        <v>4</v>
      </c>
      <c r="Q64" s="168" t="n">
        <f aca="false">MAX(P64,$H$9,ROUNDUP(Q63/$H$8,0))</f>
        <v>5</v>
      </c>
      <c r="R64" s="169" t="n">
        <f aca="false">AVERAGE(B64:E64)</f>
        <v>1</v>
      </c>
      <c r="S64" s="169" t="n">
        <f aca="false">AVERAGE(F64:Q64)</f>
        <v>2.66666666666667</v>
      </c>
      <c r="T64" s="78"/>
    </row>
    <row r="65" customFormat="false" ht="14.25" hidden="false" customHeight="true" outlineLevel="0" collapsed="false">
      <c r="A65" s="3" t="s">
        <v>2694</v>
      </c>
      <c r="B65" s="168" t="n">
        <f aca="false">$H$11</f>
        <v>1</v>
      </c>
      <c r="C65" s="168" t="n">
        <f aca="false">$H$11</f>
        <v>1</v>
      </c>
      <c r="D65" s="168" t="n">
        <f aca="false">$H$11</f>
        <v>1</v>
      </c>
      <c r="E65" s="168" t="n">
        <f aca="false">$H$11</f>
        <v>1</v>
      </c>
      <c r="F65" s="168" t="n">
        <f aca="false">$H$11</f>
        <v>1</v>
      </c>
      <c r="G65" s="168" t="n">
        <f aca="false">$H$11</f>
        <v>1</v>
      </c>
      <c r="H65" s="168" t="n">
        <f aca="false">$H$11</f>
        <v>1</v>
      </c>
      <c r="I65" s="168" t="n">
        <f aca="false">$H$11</f>
        <v>1</v>
      </c>
      <c r="J65" s="168" t="n">
        <f aca="false">$H$11</f>
        <v>1</v>
      </c>
      <c r="K65" s="168" t="n">
        <f aca="false">$H$11</f>
        <v>1</v>
      </c>
      <c r="L65" s="168" t="n">
        <f aca="false">$H$11</f>
        <v>1</v>
      </c>
      <c r="M65" s="168" t="n">
        <f aca="false">$H$11</f>
        <v>1</v>
      </c>
      <c r="N65" s="168" t="n">
        <f aca="false">$H$11</f>
        <v>1</v>
      </c>
      <c r="O65" s="168" t="n">
        <f aca="false">$H$11</f>
        <v>1</v>
      </c>
      <c r="P65" s="168" t="n">
        <f aca="false">$H$11</f>
        <v>1</v>
      </c>
      <c r="Q65" s="168" t="n">
        <f aca="false">$H$11</f>
        <v>1</v>
      </c>
      <c r="R65" s="169" t="n">
        <f aca="false">AVERAGE(B65:E65)</f>
        <v>1</v>
      </c>
      <c r="S65" s="169" t="n">
        <f aca="false">AVERAGE(F65:Q65)</f>
        <v>1</v>
      </c>
      <c r="T65" s="78"/>
    </row>
    <row r="66" customFormat="false" ht="14.25" hidden="false" customHeight="true" outlineLevel="0" collapsed="false">
      <c r="A66" s="3" t="s">
        <v>2695</v>
      </c>
      <c r="B66" s="168" t="n">
        <f aca="false">MAX(0,B64-B65)</f>
        <v>0</v>
      </c>
      <c r="C66" s="168" t="n">
        <f aca="false">MAX(0,C64-C65)</f>
        <v>0</v>
      </c>
      <c r="D66" s="168" t="n">
        <f aca="false">MAX(0,D64-D65)</f>
        <v>0</v>
      </c>
      <c r="E66" s="168" t="n">
        <f aca="false">MAX(0,E64-E65)</f>
        <v>0</v>
      </c>
      <c r="F66" s="168" t="n">
        <f aca="false">MAX(0,F64-F65)</f>
        <v>0</v>
      </c>
      <c r="G66" s="168" t="n">
        <f aca="false">MAX(0,G64-G65)</f>
        <v>0</v>
      </c>
      <c r="H66" s="168" t="n">
        <f aca="false">MAX(0,H64-H65)</f>
        <v>1</v>
      </c>
      <c r="I66" s="168" t="n">
        <f aca="false">MAX(0,I64-I65)</f>
        <v>1</v>
      </c>
      <c r="J66" s="168" t="n">
        <f aca="false">MAX(0,J64-J65)</f>
        <v>1</v>
      </c>
      <c r="K66" s="168" t="n">
        <f aca="false">MAX(0,K64-K65)</f>
        <v>1</v>
      </c>
      <c r="L66" s="168" t="n">
        <f aca="false">MAX(0,L64-L65)</f>
        <v>2</v>
      </c>
      <c r="M66" s="168" t="n">
        <f aca="false">MAX(0,M64-M65)</f>
        <v>2</v>
      </c>
      <c r="N66" s="168" t="n">
        <f aca="false">MAX(0,N64-N65)</f>
        <v>2</v>
      </c>
      <c r="O66" s="168" t="n">
        <f aca="false">MAX(0,O64-O65)</f>
        <v>3</v>
      </c>
      <c r="P66" s="168" t="n">
        <f aca="false">MAX(0,P64-P65)</f>
        <v>3</v>
      </c>
      <c r="Q66" s="168" t="n">
        <f aca="false">MAX(0,Q64-Q65)</f>
        <v>4</v>
      </c>
      <c r="R66" s="169" t="n">
        <f aca="false">AVERAGE(B66:E66)</f>
        <v>0</v>
      </c>
      <c r="S66" s="169" t="n">
        <f aca="false">AVERAGE(F66:Q66)</f>
        <v>1.66666666666667</v>
      </c>
      <c r="T66" s="78"/>
    </row>
    <row r="67" customFormat="false" ht="14.25" hidden="false" customHeight="true" outlineLevel="0" collapsed="false">
      <c r="A67" s="3" t="s">
        <v>2696</v>
      </c>
      <c r="B67" s="168" t="n">
        <f aca="false">B65+B66</f>
        <v>1</v>
      </c>
      <c r="C67" s="168" t="n">
        <f aca="false">C65+C66</f>
        <v>1</v>
      </c>
      <c r="D67" s="168" t="n">
        <f aca="false">D65+D66</f>
        <v>1</v>
      </c>
      <c r="E67" s="168" t="n">
        <f aca="false">E65+E66</f>
        <v>1</v>
      </c>
      <c r="F67" s="168" t="n">
        <f aca="false">F65+F66</f>
        <v>1</v>
      </c>
      <c r="G67" s="168" t="n">
        <f aca="false">G65+G66</f>
        <v>1</v>
      </c>
      <c r="H67" s="168" t="n">
        <f aca="false">H65+H66</f>
        <v>2</v>
      </c>
      <c r="I67" s="168" t="n">
        <f aca="false">I65+I66</f>
        <v>2</v>
      </c>
      <c r="J67" s="168" t="n">
        <f aca="false">J65+J66</f>
        <v>2</v>
      </c>
      <c r="K67" s="168" t="n">
        <f aca="false">K65+K66</f>
        <v>2</v>
      </c>
      <c r="L67" s="168" t="n">
        <f aca="false">L65+L66</f>
        <v>3</v>
      </c>
      <c r="M67" s="168" t="n">
        <f aca="false">M65+M66</f>
        <v>3</v>
      </c>
      <c r="N67" s="168" t="n">
        <f aca="false">N65+N66</f>
        <v>3</v>
      </c>
      <c r="O67" s="168" t="n">
        <f aca="false">O65+O66</f>
        <v>4</v>
      </c>
      <c r="P67" s="168" t="n">
        <f aca="false">P65+P66</f>
        <v>4</v>
      </c>
      <c r="Q67" s="168" t="n">
        <f aca="false">Q65+Q66</f>
        <v>5</v>
      </c>
      <c r="R67" s="169" t="n">
        <f aca="false">AVERAGE(B67:E67)</f>
        <v>1</v>
      </c>
      <c r="S67" s="169" t="n">
        <f aca="false">AVERAGE(F67:Q67)</f>
        <v>2.66666666666667</v>
      </c>
      <c r="T67" s="78"/>
    </row>
    <row r="68" customFormat="false" ht="14.25" hidden="false" customHeight="true" outlineLevel="0" collapsed="false">
      <c r="A68" s="3" t="s">
        <v>2697</v>
      </c>
      <c r="B68" s="168" t="n">
        <f aca="false">B66</f>
        <v>0</v>
      </c>
      <c r="C68" s="168" t="n">
        <f aca="false">MAX(0,C66-B66)</f>
        <v>0</v>
      </c>
      <c r="D68" s="168" t="n">
        <f aca="false">MAX(0,D66-C66)</f>
        <v>0</v>
      </c>
      <c r="E68" s="168" t="n">
        <f aca="false">MAX(0,E66-D66)</f>
        <v>0</v>
      </c>
      <c r="F68" s="168" t="n">
        <f aca="false">MAX(0,F66-E66)</f>
        <v>0</v>
      </c>
      <c r="G68" s="168" t="n">
        <f aca="false">MAX(0,G66-F66)</f>
        <v>0</v>
      </c>
      <c r="H68" s="168" t="n">
        <f aca="false">MAX(0,H66-G66)</f>
        <v>1</v>
      </c>
      <c r="I68" s="168" t="n">
        <f aca="false">MAX(0,I66-H66)</f>
        <v>0</v>
      </c>
      <c r="J68" s="168" t="n">
        <f aca="false">MAX(0,J66-I66)</f>
        <v>0</v>
      </c>
      <c r="K68" s="168" t="n">
        <f aca="false">MAX(0,K66-J66)</f>
        <v>0</v>
      </c>
      <c r="L68" s="168" t="n">
        <f aca="false">MAX(0,L66-K66)</f>
        <v>1</v>
      </c>
      <c r="M68" s="168" t="n">
        <f aca="false">MAX(0,M66-L66)</f>
        <v>0</v>
      </c>
      <c r="N68" s="168" t="n">
        <f aca="false">MAX(0,N66-M66)</f>
        <v>0</v>
      </c>
      <c r="O68" s="168" t="n">
        <f aca="false">MAX(0,O66-N66)</f>
        <v>1</v>
      </c>
      <c r="P68" s="168" t="n">
        <f aca="false">MAX(0,P66-O66)</f>
        <v>0</v>
      </c>
      <c r="Q68" s="168" t="n">
        <f aca="false">MAX(0,Q66-P66)</f>
        <v>1</v>
      </c>
      <c r="R68" s="179" t="n">
        <f aca="false">SUM(B68:E68)</f>
        <v>0</v>
      </c>
      <c r="S68" s="179" t="n">
        <f aca="false">SUM(F68:Q68)</f>
        <v>4</v>
      </c>
      <c r="T68" s="78"/>
    </row>
    <row r="69" customFormat="false" ht="14.25" hidden="false" customHeight="true" outlineLevel="0" collapsed="false">
      <c r="A69" s="3" t="s">
        <v>2666</v>
      </c>
      <c r="B69" s="170" t="n">
        <f aca="false">B66*$H$5/12+IF(B$26&gt;=$M$6,MIN(B66,INDEX($B66:$Q66,IFERROR(MATCH(EOMONTH($M$6,-$M$7-1),$B$26:$Q$26,0),1)))*$H$5/12*$M$5,0)</f>
        <v>0</v>
      </c>
      <c r="C69" s="170" t="n">
        <f aca="false">C66*$H$5/12+IF(C$26&gt;=$M$6,MIN(C66,INDEX($B66:$Q66,IFERROR(MATCH(EOMONTH($M$6,-$M$7-1),$B$26:$Q$26,0),1)))*$H$5/12*$M$5,0)</f>
        <v>0</v>
      </c>
      <c r="D69" s="170" t="n">
        <f aca="false">D66*$H$5/12+IF(D$26&gt;=$M$6,MIN(D66,INDEX($B66:$Q66,IFERROR(MATCH(EOMONTH($M$6,-$M$7-1),$B$26:$Q$26,0),1)))*$H$5/12*$M$5,0)</f>
        <v>0</v>
      </c>
      <c r="E69" s="170" t="n">
        <f aca="false">E66*$H$5/12+IF(E$26&gt;=$M$6,MIN(E66,INDEX($B66:$Q66,IFERROR(MATCH(EOMONTH($M$6,-$M$7-1),$B$26:$Q$26,0),1)))*$H$5/12*$M$5,0)</f>
        <v>0</v>
      </c>
      <c r="F69" s="170" t="n">
        <f aca="false">F66*$H$5/12+IF(F$26&gt;=$M$6,MIN(F66,INDEX($B66:$Q66,IFERROR(MATCH(EOMONTH($M$6,-$M$7-1),$B$26:$Q$26,0),1)))*$H$5/12*$M$5,0)</f>
        <v>0</v>
      </c>
      <c r="G69" s="170" t="n">
        <f aca="false">G66*$H$5/12+IF(G$26&gt;=$M$6,MIN(G66,INDEX($B66:$Q66,IFERROR(MATCH(EOMONTH($M$6,-$M$7-1),$B$26:$Q$26,0),1)))*$H$5/12*$M$5,0)</f>
        <v>0</v>
      </c>
      <c r="H69" s="170" t="n">
        <f aca="false">H66*$H$5/12+IF(H$26&gt;=$M$6,MIN(H66,INDEX($B66:$Q66,IFERROR(MATCH(EOMONTH($M$6,-$M$7-1),$B$26:$Q$26,0),1)))*$H$5/12*$M$5,0)</f>
        <v>7500</v>
      </c>
      <c r="I69" s="170" t="n">
        <f aca="false">I66*$H$5/12+IF(I$26&gt;=$M$6,MIN(I66,INDEX($B66:$Q66,IFERROR(MATCH(EOMONTH($M$6,-$M$7-1),$B$26:$Q$26,0),1)))*$H$5/12*$M$5,0)</f>
        <v>7500</v>
      </c>
      <c r="J69" s="170" t="n">
        <f aca="false">J66*$H$5/12+IF(J$26&gt;=$M$6,MIN(J66,INDEX($B66:$Q66,IFERROR(MATCH(EOMONTH($M$6,-$M$7-1),$B$26:$Q$26,0),1)))*$H$5/12*$M$5,0)</f>
        <v>7500</v>
      </c>
      <c r="K69" s="170" t="n">
        <f aca="false">K66*$H$5/12+IF(K$26&gt;=$M$6,MIN(K66,INDEX($B66:$Q66,IFERROR(MATCH(EOMONTH($M$6,-$M$7-1),$B$26:$Q$26,0),1)))*$H$5/12*$M$5,0)</f>
        <v>7500</v>
      </c>
      <c r="L69" s="170" t="n">
        <f aca="false">L66*$H$5/12+IF(L$26&gt;=$M$6,MIN(L66,INDEX($B66:$Q66,IFERROR(MATCH(EOMONTH($M$6,-$M$7-1),$B$26:$Q$26,0),1)))*$H$5/12*$M$5,0)</f>
        <v>15000</v>
      </c>
      <c r="M69" s="170" t="n">
        <f aca="false">M66*$H$5/12+IF(M$26&gt;=$M$6,MIN(M66,INDEX($B66:$Q66,IFERROR(MATCH(EOMONTH($M$6,-$M$7-1),$B$26:$Q$26,0),1)))*$H$5/12*$M$5,0)</f>
        <v>15000</v>
      </c>
      <c r="N69" s="170" t="n">
        <f aca="false">N66*$H$5/12+IF(N$26&gt;=$M$6,MIN(N66,INDEX($B66:$Q66,IFERROR(MATCH(EOMONTH($M$6,-$M$7-1),$B$26:$Q$26,0),1)))*$H$5/12*$M$5,0)</f>
        <v>15000</v>
      </c>
      <c r="O69" s="170" t="n">
        <f aca="false">O66*$H$5/12+IF(O$26&gt;=$M$6,MIN(O66,INDEX($B66:$Q66,IFERROR(MATCH(EOMONTH($M$6,-$M$7-1),$B$26:$Q$26,0),1)))*$H$5/12*$M$5,0)</f>
        <v>22725</v>
      </c>
      <c r="P69" s="170" t="n">
        <f aca="false">P66*$H$5/12+IF(P$26&gt;=$M$6,MIN(P66,INDEX($B66:$Q66,IFERROR(MATCH(EOMONTH($M$6,-$M$7-1),$B$26:$Q$26,0),1)))*$H$5/12*$M$5,0)</f>
        <v>22725</v>
      </c>
      <c r="Q69" s="170" t="n">
        <f aca="false">Q66*$H$5/12+IF(Q$26&gt;=$M$6,MIN(Q66,INDEX($B66:$Q66,IFERROR(MATCH(EOMONTH($M$6,-$M$7-1),$B$26:$Q$26,0),1)))*$H$5/12*$M$5,0)</f>
        <v>30225</v>
      </c>
      <c r="R69" s="171" t="n">
        <f aca="false">SUM(B69:E69)</f>
        <v>0</v>
      </c>
      <c r="S69" s="171" t="n">
        <f aca="false">SUM(F69:Q69)</f>
        <v>150675</v>
      </c>
    </row>
    <row r="70" customFormat="false" ht="14.25" hidden="false" customHeight="true" outlineLevel="0" collapsed="false">
      <c r="A70" s="3" t="s">
        <v>2667</v>
      </c>
      <c r="B70" s="170" t="n">
        <f aca="false">B69*$H$6</f>
        <v>0</v>
      </c>
      <c r="C70" s="170" t="n">
        <f aca="false">C69*$H$6</f>
        <v>0</v>
      </c>
      <c r="D70" s="170" t="n">
        <f aca="false">D69*$H$6</f>
        <v>0</v>
      </c>
      <c r="E70" s="170" t="n">
        <f aca="false">E69*$H$6</f>
        <v>0</v>
      </c>
      <c r="F70" s="170" t="n">
        <f aca="false">F69*$H$6</f>
        <v>0</v>
      </c>
      <c r="G70" s="170" t="n">
        <f aca="false">G69*$H$6</f>
        <v>0</v>
      </c>
      <c r="H70" s="170" t="n">
        <f aca="false">H69*$H$6</f>
        <v>510</v>
      </c>
      <c r="I70" s="170" t="n">
        <f aca="false">I69*$H$6</f>
        <v>510</v>
      </c>
      <c r="J70" s="170" t="n">
        <f aca="false">J69*$H$6</f>
        <v>510</v>
      </c>
      <c r="K70" s="170" t="n">
        <f aca="false">K69*$H$6</f>
        <v>510</v>
      </c>
      <c r="L70" s="170" t="n">
        <f aca="false">L69*$H$6</f>
        <v>1020</v>
      </c>
      <c r="M70" s="170" t="n">
        <f aca="false">M69*$H$6</f>
        <v>1020</v>
      </c>
      <c r="N70" s="170" t="n">
        <f aca="false">N69*$H$6</f>
        <v>1020</v>
      </c>
      <c r="O70" s="170" t="n">
        <f aca="false">O69*$H$6</f>
        <v>1545.3</v>
      </c>
      <c r="P70" s="170" t="n">
        <f aca="false">P69*$H$6</f>
        <v>1545.3</v>
      </c>
      <c r="Q70" s="170" t="n">
        <f aca="false">Q69*$H$6</f>
        <v>2055.3</v>
      </c>
      <c r="R70" s="171" t="n">
        <f aca="false">SUM(B70:E70)</f>
        <v>0</v>
      </c>
      <c r="S70" s="171" t="n">
        <f aca="false">SUM(F70:Q70)</f>
        <v>10245.9</v>
      </c>
    </row>
    <row r="71" customFormat="false" ht="14.25" hidden="false" customHeight="true" outlineLevel="0" collapsed="false">
      <c r="A71" s="3" t="s">
        <v>2289</v>
      </c>
      <c r="B71" s="170" t="n">
        <f aca="false">B69*$H$7</f>
        <v>0</v>
      </c>
      <c r="C71" s="170" t="n">
        <f aca="false">C69*$H$7</f>
        <v>0</v>
      </c>
      <c r="D71" s="170" t="n">
        <f aca="false">D69*$H$7</f>
        <v>0</v>
      </c>
      <c r="E71" s="170" t="n">
        <f aca="false">E69*$H$7</f>
        <v>0</v>
      </c>
      <c r="F71" s="170" t="n">
        <f aca="false">F69*$H$7</f>
        <v>0</v>
      </c>
      <c r="G71" s="170" t="n">
        <f aca="false">G69*$H$7</f>
        <v>0</v>
      </c>
      <c r="H71" s="170" t="n">
        <f aca="false">H69*$H$7</f>
        <v>1230</v>
      </c>
      <c r="I71" s="170" t="n">
        <f aca="false">I69*$H$7</f>
        <v>1230</v>
      </c>
      <c r="J71" s="170" t="n">
        <f aca="false">J69*$H$7</f>
        <v>1230</v>
      </c>
      <c r="K71" s="170" t="n">
        <f aca="false">K69*$H$7</f>
        <v>1230</v>
      </c>
      <c r="L71" s="170" t="n">
        <f aca="false">L69*$H$7</f>
        <v>2460</v>
      </c>
      <c r="M71" s="170" t="n">
        <f aca="false">M69*$H$7</f>
        <v>2460</v>
      </c>
      <c r="N71" s="170" t="n">
        <f aca="false">N69*$H$7</f>
        <v>2460</v>
      </c>
      <c r="O71" s="170" t="n">
        <f aca="false">O69*$H$7</f>
        <v>3726.9</v>
      </c>
      <c r="P71" s="170" t="n">
        <f aca="false">P69*$H$7</f>
        <v>3726.9</v>
      </c>
      <c r="Q71" s="170" t="n">
        <f aca="false">Q69*$H$7</f>
        <v>4956.9</v>
      </c>
      <c r="R71" s="171" t="n">
        <f aca="false">SUM(B71:E71)</f>
        <v>0</v>
      </c>
      <c r="S71" s="171" t="n">
        <f aca="false">SUM(F71:Q71)</f>
        <v>24710.7</v>
      </c>
    </row>
    <row r="72" customFormat="false" ht="14.25" hidden="false" customHeight="true" outlineLevel="0" collapsed="false">
      <c r="A72" s="3" t="s">
        <v>2674</v>
      </c>
      <c r="B72" s="170" t="n">
        <f aca="false">B68*$H$10</f>
        <v>0</v>
      </c>
      <c r="C72" s="170" t="n">
        <f aca="false">C68*$H$10</f>
        <v>0</v>
      </c>
      <c r="D72" s="170" t="n">
        <f aca="false">D68*$H$10</f>
        <v>0</v>
      </c>
      <c r="E72" s="170" t="n">
        <f aca="false">E68*$H$10</f>
        <v>0</v>
      </c>
      <c r="F72" s="170" t="n">
        <f aca="false">F68*$H$10</f>
        <v>0</v>
      </c>
      <c r="G72" s="170" t="n">
        <f aca="false">G68*$H$10</f>
        <v>0</v>
      </c>
      <c r="H72" s="170" t="n">
        <f aca="false">H68*$H$10</f>
        <v>2000</v>
      </c>
      <c r="I72" s="170" t="n">
        <f aca="false">I68*$H$10</f>
        <v>0</v>
      </c>
      <c r="J72" s="170" t="n">
        <f aca="false">J68*$H$10</f>
        <v>0</v>
      </c>
      <c r="K72" s="170" t="n">
        <f aca="false">K68*$H$10</f>
        <v>0</v>
      </c>
      <c r="L72" s="170" t="n">
        <f aca="false">L68*$H$10</f>
        <v>2000</v>
      </c>
      <c r="M72" s="170" t="n">
        <f aca="false">M68*$H$10</f>
        <v>0</v>
      </c>
      <c r="N72" s="170" t="n">
        <f aca="false">N68*$H$10</f>
        <v>0</v>
      </c>
      <c r="O72" s="170" t="n">
        <f aca="false">O68*$H$10</f>
        <v>2000</v>
      </c>
      <c r="P72" s="170" t="n">
        <f aca="false">P68*$H$10</f>
        <v>0</v>
      </c>
      <c r="Q72" s="170" t="n">
        <f aca="false">Q68*$H$10</f>
        <v>2000</v>
      </c>
      <c r="R72" s="171" t="n">
        <f aca="false">SUM(B72:E72)</f>
        <v>0</v>
      </c>
      <c r="S72" s="171" t="n">
        <f aca="false">SUM(F72:Q72)</f>
        <v>8000</v>
      </c>
    </row>
    <row r="73" customFormat="false" ht="14.25" hidden="false" customHeight="true" outlineLevel="0" collapsed="false">
      <c r="A73" s="172" t="s">
        <v>2698</v>
      </c>
      <c r="B73" s="173" t="n">
        <f aca="false">SUM(B69:B72)</f>
        <v>0</v>
      </c>
      <c r="C73" s="173" t="n">
        <f aca="false">SUM(C69:C72)</f>
        <v>0</v>
      </c>
      <c r="D73" s="173" t="n">
        <f aca="false">SUM(D69:D72)</f>
        <v>0</v>
      </c>
      <c r="E73" s="173" t="n">
        <f aca="false">SUM(E69:E72)</f>
        <v>0</v>
      </c>
      <c r="F73" s="173" t="n">
        <f aca="false">SUM(F69:F72)</f>
        <v>0</v>
      </c>
      <c r="G73" s="173" t="n">
        <f aca="false">SUM(G69:G72)</f>
        <v>0</v>
      </c>
      <c r="H73" s="173" t="n">
        <f aca="false">SUM(H69:H72)</f>
        <v>11240</v>
      </c>
      <c r="I73" s="173" t="n">
        <f aca="false">SUM(I69:I72)</f>
        <v>9240</v>
      </c>
      <c r="J73" s="173" t="n">
        <f aca="false">SUM(J69:J72)</f>
        <v>9240</v>
      </c>
      <c r="K73" s="173" t="n">
        <f aca="false">SUM(K69:K72)</f>
        <v>9240</v>
      </c>
      <c r="L73" s="173" t="n">
        <f aca="false">SUM(L69:L72)</f>
        <v>20480</v>
      </c>
      <c r="M73" s="173" t="n">
        <f aca="false">SUM(M69:M72)</f>
        <v>18480</v>
      </c>
      <c r="N73" s="173" t="n">
        <f aca="false">SUM(N69:N72)</f>
        <v>18480</v>
      </c>
      <c r="O73" s="173" t="n">
        <f aca="false">SUM(O69:O72)</f>
        <v>29997.2</v>
      </c>
      <c r="P73" s="173" t="n">
        <f aca="false">SUM(P69:P72)</f>
        <v>27997.2</v>
      </c>
      <c r="Q73" s="173" t="n">
        <f aca="false">SUM(Q69:Q72)</f>
        <v>39237.2</v>
      </c>
      <c r="R73" s="174" t="n">
        <f aca="false">SUM(B73:E73)</f>
        <v>0</v>
      </c>
      <c r="S73" s="174" t="n">
        <f aca="false">SUM(F73:Q73)</f>
        <v>193631.6</v>
      </c>
    </row>
    <row r="74" customFormat="false" ht="14.25" hidden="false" customHeight="true" outlineLevel="0" collapsed="false"/>
    <row r="75" customFormat="false" ht="14.25" hidden="false" customHeight="true" outlineLevel="0" collapsed="false">
      <c r="A75" s="167" t="s">
        <v>2699</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2664</v>
      </c>
      <c r="S75" s="80" t="s">
        <v>2325</v>
      </c>
    </row>
    <row r="76" customFormat="false" ht="14.25" hidden="false" customHeight="true" outlineLevel="0" collapsed="false">
      <c r="A76" s="3" t="s">
        <v>2700</v>
      </c>
      <c r="B76" s="170" t="n">
        <f aca="false">$H$15/12+IF(B$75&gt;=$M$6,$H$15/12*$M$5,0)</f>
        <v>6376.25</v>
      </c>
      <c r="C76" s="170" t="n">
        <f aca="false">$H$15/12+IF(C$75&gt;=$M$6,$H$15/12*$M$5,0)</f>
        <v>6376.25</v>
      </c>
      <c r="D76" s="170" t="n">
        <f aca="false">$H$15/12+IF(D$75&gt;=$M$6,$H$15/12*$M$5,0)</f>
        <v>6376.25</v>
      </c>
      <c r="E76" s="170" t="n">
        <f aca="false">$H$15/12+IF(E$75&gt;=$M$6,$H$15/12*$M$5,0)</f>
        <v>6376.25</v>
      </c>
      <c r="F76" s="170" t="n">
        <f aca="false">$H$15/12+IF(F$75&gt;=$M$6,$H$15/12*$M$5,0)</f>
        <v>6376.25</v>
      </c>
      <c r="G76" s="170" t="n">
        <f aca="false">$H$15/12+IF(G$75&gt;=$M$6,$H$15/12*$M$5,0)</f>
        <v>6376.25</v>
      </c>
      <c r="H76" s="170" t="n">
        <f aca="false">$H$15/12+IF(H$75&gt;=$M$6,$H$15/12*$M$5,0)</f>
        <v>6376.25</v>
      </c>
      <c r="I76" s="170" t="n">
        <f aca="false">$H$15/12+IF(I$75&gt;=$M$6,$H$15/12*$M$5,0)</f>
        <v>6376.25</v>
      </c>
      <c r="J76" s="170" t="n">
        <f aca="false">$H$15/12+IF(J$75&gt;=$M$6,$H$15/12*$M$5,0)</f>
        <v>6376.25</v>
      </c>
      <c r="K76" s="170" t="n">
        <f aca="false">$H$15/12+IF(K$75&gt;=$M$6,$H$15/12*$M$5,0)</f>
        <v>6376.25</v>
      </c>
      <c r="L76" s="170" t="n">
        <f aca="false">$H$15/12+IF(L$75&gt;=$M$6,$H$15/12*$M$5,0)</f>
        <v>6376.25</v>
      </c>
      <c r="M76" s="170" t="n">
        <f aca="false">$H$15/12+IF(M$75&gt;=$M$6,$H$15/12*$M$5,0)</f>
        <v>6376.25</v>
      </c>
      <c r="N76" s="170" t="n">
        <f aca="false">$H$15/12+IF(N$75&gt;=$M$6,$H$15/12*$M$5,0)</f>
        <v>6376.25</v>
      </c>
      <c r="O76" s="170" t="n">
        <f aca="false">$H$15/12+IF(O$75&gt;=$M$6,$H$15/12*$M$5,0)</f>
        <v>6567.5375</v>
      </c>
      <c r="P76" s="170" t="n">
        <f aca="false">$H$15/12+IF(P$75&gt;=$M$6,$H$15/12*$M$5,0)</f>
        <v>6567.5375</v>
      </c>
      <c r="Q76" s="170" t="n">
        <f aca="false">$H$15/12+IF(Q$75&gt;=$M$6,$H$15/12*$M$5,0)</f>
        <v>6567.5375</v>
      </c>
      <c r="R76" s="171" t="n">
        <f aca="false">SUM(B76:E76)</f>
        <v>25505</v>
      </c>
      <c r="S76" s="171" t="n">
        <f aca="false">SUM(F76:Q76)</f>
        <v>77088.8625</v>
      </c>
    </row>
    <row r="77" customFormat="false" ht="14.25" hidden="false" customHeight="true" outlineLevel="0" collapsed="false">
      <c r="A77" s="3" t="s">
        <v>2701</v>
      </c>
      <c r="B77" s="170" t="n">
        <f aca="false">$H$16/12+IF(B$75&gt;=$M$6,$H$16/12*$M$5,0)</f>
        <v>10000</v>
      </c>
      <c r="C77" s="170" t="n">
        <f aca="false">$H$16/12+IF(C$75&gt;=$M$6,$H$16/12*$M$5,0)</f>
        <v>10000</v>
      </c>
      <c r="D77" s="170" t="n">
        <f aca="false">$H$16/12+IF(D$75&gt;=$M$6,$H$16/12*$M$5,0)</f>
        <v>10000</v>
      </c>
      <c r="E77" s="170" t="n">
        <f aca="false">$H$16/12+IF(E$75&gt;=$M$6,$H$16/12*$M$5,0)</f>
        <v>10000</v>
      </c>
      <c r="F77" s="170" t="n">
        <f aca="false">$H$16/12+IF(F$75&gt;=$M$6,$H$16/12*$M$5,0)</f>
        <v>10000</v>
      </c>
      <c r="G77" s="170" t="n">
        <f aca="false">$H$16/12+IF(G$75&gt;=$M$6,$H$16/12*$M$5,0)</f>
        <v>10000</v>
      </c>
      <c r="H77" s="170" t="n">
        <f aca="false">$H$16/12+IF(H$75&gt;=$M$6,$H$16/12*$M$5,0)</f>
        <v>10000</v>
      </c>
      <c r="I77" s="170" t="n">
        <f aca="false">$H$16/12+IF(I$75&gt;=$M$6,$H$16/12*$M$5,0)</f>
        <v>10000</v>
      </c>
      <c r="J77" s="170" t="n">
        <f aca="false">$H$16/12+IF(J$75&gt;=$M$6,$H$16/12*$M$5,0)</f>
        <v>10000</v>
      </c>
      <c r="K77" s="170" t="n">
        <f aca="false">$H$16/12+IF(K$75&gt;=$M$6,$H$16/12*$M$5,0)</f>
        <v>10000</v>
      </c>
      <c r="L77" s="170" t="n">
        <f aca="false">$H$16/12+IF(L$75&gt;=$M$6,$H$16/12*$M$5,0)</f>
        <v>10000</v>
      </c>
      <c r="M77" s="170" t="n">
        <f aca="false">$H$16/12+IF(M$75&gt;=$M$6,$H$16/12*$M$5,0)</f>
        <v>10000</v>
      </c>
      <c r="N77" s="170" t="n">
        <f aca="false">$H$16/12+IF(N$75&gt;=$M$6,$H$16/12*$M$5,0)</f>
        <v>10000</v>
      </c>
      <c r="O77" s="170" t="n">
        <f aca="false">$H$16/12+IF(O$75&gt;=$M$6,$H$16/12*$M$5,0)</f>
        <v>10300</v>
      </c>
      <c r="P77" s="170" t="n">
        <f aca="false">$H$16/12+IF(P$75&gt;=$M$6,$H$16/12*$M$5,0)</f>
        <v>10300</v>
      </c>
      <c r="Q77" s="170" t="n">
        <f aca="false">$H$16/12+IF(Q$75&gt;=$M$6,$H$16/12*$M$5,0)</f>
        <v>10300</v>
      </c>
      <c r="R77" s="171" t="n">
        <f aca="false">SUM(B77:E77)</f>
        <v>40000</v>
      </c>
      <c r="S77" s="171" t="n">
        <f aca="false">SUM(F77:Q77)</f>
        <v>120900</v>
      </c>
    </row>
    <row r="78" customFormat="false" ht="14.25" hidden="false" customHeight="true" outlineLevel="0" collapsed="false">
      <c r="A78" s="3" t="s">
        <v>2667</v>
      </c>
      <c r="B78" s="170" t="n">
        <f aca="false">(B76+B77)*$H$6</f>
        <v>1113.585</v>
      </c>
      <c r="C78" s="170" t="n">
        <f aca="false">(C76+C77)*$H$6</f>
        <v>1113.585</v>
      </c>
      <c r="D78" s="170" t="n">
        <f aca="false">(D76+D77)*$H$6</f>
        <v>1113.585</v>
      </c>
      <c r="E78" s="170" t="n">
        <f aca="false">(E76+E77)*$H$6</f>
        <v>1113.585</v>
      </c>
      <c r="F78" s="170" t="n">
        <f aca="false">(F76+F77)*$H$6</f>
        <v>1113.585</v>
      </c>
      <c r="G78" s="170" t="n">
        <f aca="false">(G76+G77)*$H$6</f>
        <v>1113.585</v>
      </c>
      <c r="H78" s="170" t="n">
        <f aca="false">(H76+H77)*$H$6</f>
        <v>1113.585</v>
      </c>
      <c r="I78" s="170" t="n">
        <f aca="false">(I76+I77)*$H$6</f>
        <v>1113.585</v>
      </c>
      <c r="J78" s="170" t="n">
        <f aca="false">(J76+J77)*$H$6</f>
        <v>1113.585</v>
      </c>
      <c r="K78" s="170" t="n">
        <f aca="false">(K76+K77)*$H$6</f>
        <v>1113.585</v>
      </c>
      <c r="L78" s="170" t="n">
        <f aca="false">(L76+L77)*$H$6</f>
        <v>1113.585</v>
      </c>
      <c r="M78" s="170" t="n">
        <f aca="false">(M76+M77)*$H$6</f>
        <v>1113.585</v>
      </c>
      <c r="N78" s="170" t="n">
        <f aca="false">(N76+N77)*$H$6</f>
        <v>1113.585</v>
      </c>
      <c r="O78" s="170" t="n">
        <f aca="false">(O76+O77)*$H$6</f>
        <v>1146.99255</v>
      </c>
      <c r="P78" s="170" t="n">
        <f aca="false">(P76+P77)*$H$6</f>
        <v>1146.99255</v>
      </c>
      <c r="Q78" s="170" t="n">
        <f aca="false">(Q76+Q77)*$H$6</f>
        <v>1146.99255</v>
      </c>
      <c r="R78" s="171" t="n">
        <f aca="false">SUM(B78:E78)</f>
        <v>4454.34</v>
      </c>
      <c r="S78" s="171" t="n">
        <f aca="false">SUM(F78:Q78)</f>
        <v>13463.24265</v>
      </c>
    </row>
    <row r="79" customFormat="false" ht="14.25" hidden="false" customHeight="true" outlineLevel="0" collapsed="false">
      <c r="A79" s="3" t="s">
        <v>2289</v>
      </c>
      <c r="B79" s="170" t="n">
        <f aca="false">(B76+B77)*$H$7</f>
        <v>2685.705</v>
      </c>
      <c r="C79" s="170" t="n">
        <f aca="false">(C76+C77)*$H$7</f>
        <v>2685.705</v>
      </c>
      <c r="D79" s="170" t="n">
        <f aca="false">(D76+D77)*$H$7</f>
        <v>2685.705</v>
      </c>
      <c r="E79" s="170" t="n">
        <f aca="false">(E76+E77)*$H$7</f>
        <v>2685.705</v>
      </c>
      <c r="F79" s="170" t="n">
        <f aca="false">(F76+F77)*$H$7</f>
        <v>2685.705</v>
      </c>
      <c r="G79" s="170" t="n">
        <f aca="false">(G76+G77)*$H$7</f>
        <v>2685.705</v>
      </c>
      <c r="H79" s="170" t="n">
        <f aca="false">(H76+H77)*$H$7</f>
        <v>2685.705</v>
      </c>
      <c r="I79" s="170" t="n">
        <f aca="false">(I76+I77)*$H$7</f>
        <v>2685.705</v>
      </c>
      <c r="J79" s="170" t="n">
        <f aca="false">(J76+J77)*$H$7</f>
        <v>2685.705</v>
      </c>
      <c r="K79" s="170" t="n">
        <f aca="false">(K76+K77)*$H$7</f>
        <v>2685.705</v>
      </c>
      <c r="L79" s="170" t="n">
        <f aca="false">(L76+L77)*$H$7</f>
        <v>2685.705</v>
      </c>
      <c r="M79" s="170" t="n">
        <f aca="false">(M76+M77)*$H$7</f>
        <v>2685.705</v>
      </c>
      <c r="N79" s="170" t="n">
        <f aca="false">(N76+N77)*$H$7</f>
        <v>2685.705</v>
      </c>
      <c r="O79" s="170" t="n">
        <f aca="false">(O76+O77)*$H$7</f>
        <v>2766.27615</v>
      </c>
      <c r="P79" s="170" t="n">
        <f aca="false">(P76+P77)*$H$7</f>
        <v>2766.27615</v>
      </c>
      <c r="Q79" s="170" t="n">
        <f aca="false">(Q76+Q77)*$H$7</f>
        <v>2766.27615</v>
      </c>
      <c r="R79" s="171" t="n">
        <f aca="false">SUM(B79:E79)</f>
        <v>10742.82</v>
      </c>
      <c r="S79" s="171" t="n">
        <f aca="false">SUM(F79:Q79)</f>
        <v>32470.17345</v>
      </c>
    </row>
    <row r="80" customFormat="false" ht="14.25" hidden="false" customHeight="true" outlineLevel="0" collapsed="false">
      <c r="A80" s="172" t="s">
        <v>2702</v>
      </c>
      <c r="B80" s="173" t="n">
        <f aca="false">SUM(B76:B79)</f>
        <v>20175.54</v>
      </c>
      <c r="C80" s="173" t="n">
        <f aca="false">SUM(C76:C79)</f>
        <v>20175.54</v>
      </c>
      <c r="D80" s="173" t="n">
        <f aca="false">SUM(D76:D79)</f>
        <v>20175.54</v>
      </c>
      <c r="E80" s="173" t="n">
        <f aca="false">SUM(E76:E79)</f>
        <v>20175.54</v>
      </c>
      <c r="F80" s="173" t="n">
        <f aca="false">SUM(F76:F79)</f>
        <v>20175.54</v>
      </c>
      <c r="G80" s="173" t="n">
        <f aca="false">SUM(G76:G79)</f>
        <v>20175.54</v>
      </c>
      <c r="H80" s="173" t="n">
        <f aca="false">SUM(H76:H79)</f>
        <v>20175.54</v>
      </c>
      <c r="I80" s="173" t="n">
        <f aca="false">SUM(I76:I79)</f>
        <v>20175.54</v>
      </c>
      <c r="J80" s="173" t="n">
        <f aca="false">SUM(J76:J79)</f>
        <v>20175.54</v>
      </c>
      <c r="K80" s="173" t="n">
        <f aca="false">SUM(K76:K79)</f>
        <v>20175.54</v>
      </c>
      <c r="L80" s="173" t="n">
        <f aca="false">SUM(L76:L79)</f>
        <v>20175.54</v>
      </c>
      <c r="M80" s="173" t="n">
        <f aca="false">SUM(M76:M79)</f>
        <v>20175.54</v>
      </c>
      <c r="N80" s="173" t="n">
        <f aca="false">SUM(N76:N79)</f>
        <v>20175.54</v>
      </c>
      <c r="O80" s="173" t="n">
        <f aca="false">SUM(O76:O79)</f>
        <v>20780.8062</v>
      </c>
      <c r="P80" s="173" t="n">
        <f aca="false">SUM(P76:P79)</f>
        <v>20780.8062</v>
      </c>
      <c r="Q80" s="173" t="n">
        <f aca="false">SUM(Q76:Q79)</f>
        <v>20780.8062</v>
      </c>
      <c r="R80" s="174" t="n">
        <f aca="false">SUM(B80:E80)</f>
        <v>80702.16</v>
      </c>
      <c r="S80" s="174" t="n">
        <f aca="false">SUM(F80:Q80)</f>
        <v>243922.2786</v>
      </c>
    </row>
    <row r="81" customFormat="false" ht="14.25" hidden="false" customHeight="true" outlineLevel="0" collapsed="false"/>
    <row r="82" customFormat="false" ht="14.25" hidden="false" customHeight="true" outlineLevel="0" collapsed="false">
      <c r="A82" s="180" t="s">
        <v>2703</v>
      </c>
      <c r="B82" s="181" t="n">
        <f aca="false">B24+B35+B47+B60+B73+B80</f>
        <v>110727.54</v>
      </c>
      <c r="C82" s="181" t="n">
        <f aca="false">C24+C35+C47+C60+C73+C80</f>
        <v>110727.54</v>
      </c>
      <c r="D82" s="181" t="n">
        <f aca="false">D24+D35+D47+D60+D73+D80</f>
        <v>110727.54</v>
      </c>
      <c r="E82" s="181" t="n">
        <f aca="false">E24+E35+E47+E60+E73+E80</f>
        <v>136131.54</v>
      </c>
      <c r="F82" s="181" t="n">
        <f aca="false">F24+F35+F47+F60+F73+F80</f>
        <v>147067.54</v>
      </c>
      <c r="G82" s="181" t="n">
        <f aca="false">G24+G35+G47+G60+G73+G80</f>
        <v>143067.54</v>
      </c>
      <c r="H82" s="181" t="n">
        <f aca="false">H24+H35+H47+H60+H73+H80</f>
        <v>188179.54</v>
      </c>
      <c r="I82" s="181" t="n">
        <f aca="false">I24+I35+I47+I60+I73+I80</f>
        <v>203583.54</v>
      </c>
      <c r="J82" s="181" t="n">
        <f aca="false">J24+J35+J47+J60+J73+J80</f>
        <v>239923.54</v>
      </c>
      <c r="K82" s="181" t="n">
        <f aca="false">K24+K35+K47+K60+K73+K80</f>
        <v>272263.54</v>
      </c>
      <c r="L82" s="181" t="n">
        <f aca="false">L24+L35+L47+L60+L73+L80</f>
        <v>324311.54</v>
      </c>
      <c r="M82" s="181" t="n">
        <f aca="false">M24+M35+M47+M60+M73+M80</f>
        <v>369587.54</v>
      </c>
      <c r="N82" s="181" t="n">
        <f aca="false">N24+N35+N47+N60+N73+N80</f>
        <v>414863.54</v>
      </c>
      <c r="O82" s="181" t="n">
        <f aca="false">O24+O35+O47+O60+O73+O80</f>
        <v>493660.9262</v>
      </c>
      <c r="P82" s="181" t="n">
        <f aca="false">P24+P35+P47+P60+P73+P80</f>
        <v>549872.9262</v>
      </c>
      <c r="Q82" s="181" t="n">
        <f aca="false">Q24+Q35+Q47+Q60+Q73+Q80</f>
        <v>610856.9262</v>
      </c>
      <c r="R82" s="181" t="n">
        <f aca="false">SUM(B82:E82)</f>
        <v>468314.16</v>
      </c>
      <c r="S82" s="181"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3" width="51"/>
    <col collapsed="false" customWidth="true" hidden="false" outlineLevel="0" max="9" min="2" style="3" width="12.5"/>
    <col collapsed="false" customWidth="true" hidden="false" outlineLevel="0" max="10" min="10" style="3" width="14.13"/>
    <col collapsed="false" customWidth="true" hidden="false" outlineLevel="0" max="12" min="11" style="3" width="12.88"/>
    <col collapsed="false" customWidth="true" hidden="false" outlineLevel="0" max="19" min="13" style="3" width="12.5"/>
    <col collapsed="false" customWidth="true" hidden="false" outlineLevel="0" max="20" min="20" style="3" width="22"/>
    <col collapsed="false" customWidth="true" hidden="false" outlineLevel="0" max="26" min="21" style="3" width="8.63"/>
  </cols>
  <sheetData>
    <row r="1" customFormat="false" ht="14.25" hidden="false" customHeight="true" outlineLevel="0" collapsed="false">
      <c r="A1" s="182" t="s">
        <v>2704</v>
      </c>
      <c r="J1" s="183" t="s">
        <v>2705</v>
      </c>
    </row>
    <row r="2" customFormat="false" ht="14.25" hidden="false" customHeight="true" outlineLevel="0" collapsed="false">
      <c r="A2" s="184" t="s">
        <v>2706</v>
      </c>
    </row>
    <row r="3" customFormat="false" ht="14.25" hidden="false" customHeight="true" outlineLevel="0" collapsed="false"/>
    <row r="4" customFormat="false" ht="15" hidden="false" customHeight="true" outlineLevel="0" collapsed="false">
      <c r="A4" s="185" t="s">
        <v>2707</v>
      </c>
      <c r="B4" s="186" t="s">
        <v>2708</v>
      </c>
      <c r="C4" s="186" t="s">
        <v>2709</v>
      </c>
      <c r="E4" s="187" t="s">
        <v>2710</v>
      </c>
      <c r="F4" s="187"/>
      <c r="G4" s="187"/>
      <c r="H4" s="187"/>
      <c r="J4" s="187" t="s">
        <v>2711</v>
      </c>
      <c r="K4" s="187"/>
      <c r="L4" s="187"/>
      <c r="M4" s="187"/>
      <c r="O4" s="188" t="s">
        <v>2712</v>
      </c>
      <c r="Q4" s="189" t="s">
        <v>2713</v>
      </c>
      <c r="R4" s="189" t="s">
        <v>2714</v>
      </c>
      <c r="S4" s="189" t="s">
        <v>2715</v>
      </c>
    </row>
    <row r="5" customFormat="false" ht="14.25" hidden="false" customHeight="true" outlineLevel="0" collapsed="false">
      <c r="A5" s="183" t="s">
        <v>2716</v>
      </c>
      <c r="B5" s="190" t="n">
        <f aca="false">$S$9</f>
        <v>57200.052</v>
      </c>
      <c r="C5" s="190" t="n">
        <f aca="false">$S$9</f>
        <v>57200.052</v>
      </c>
      <c r="E5" s="183" t="s">
        <v>2632</v>
      </c>
      <c r="H5" s="191" t="n">
        <v>75000</v>
      </c>
      <c r="J5" s="183" t="s">
        <v>2633</v>
      </c>
      <c r="M5" s="192" t="n">
        <v>0.03</v>
      </c>
      <c r="O5" s="183" t="s">
        <v>2717</v>
      </c>
      <c r="Q5" s="193" t="n">
        <v>0.33333</v>
      </c>
      <c r="R5" s="194" t="n">
        <v>25</v>
      </c>
      <c r="S5" s="195" t="n">
        <f aca="false">R5*2080</f>
        <v>52000</v>
      </c>
    </row>
    <row r="6" customFormat="false" ht="14.25" hidden="false" customHeight="true" outlineLevel="0" collapsed="false">
      <c r="A6" s="183" t="s">
        <v>2635</v>
      </c>
      <c r="B6" s="192" t="n">
        <v>0.075</v>
      </c>
      <c r="C6" s="192" t="n">
        <v>0.075</v>
      </c>
      <c r="E6" s="183" t="s">
        <v>2635</v>
      </c>
      <c r="H6" s="192" t="n">
        <v>0.075</v>
      </c>
      <c r="J6" s="183" t="s">
        <v>2636</v>
      </c>
      <c r="M6" s="196" t="n">
        <v>46661</v>
      </c>
      <c r="O6" s="183" t="s">
        <v>2718</v>
      </c>
      <c r="Q6" s="193" t="n">
        <v>0.33333</v>
      </c>
      <c r="R6" s="194" t="n">
        <v>27.5</v>
      </c>
      <c r="S6" s="195" t="n">
        <f aca="false">R6*2080</f>
        <v>57200</v>
      </c>
    </row>
    <row r="7" customFormat="false" ht="14.25" hidden="false" customHeight="true" outlineLevel="0" collapsed="false">
      <c r="A7" s="183" t="s">
        <v>2637</v>
      </c>
      <c r="B7" s="192" t="n">
        <v>0.075</v>
      </c>
      <c r="C7" s="192" t="n">
        <v>0.08</v>
      </c>
      <c r="E7" s="183" t="s">
        <v>2637</v>
      </c>
      <c r="H7" s="192" t="n">
        <v>0.075</v>
      </c>
      <c r="J7" s="183" t="s">
        <v>2719</v>
      </c>
      <c r="M7" s="191" t="n">
        <v>1000</v>
      </c>
      <c r="O7" s="183" t="s">
        <v>2720</v>
      </c>
      <c r="Q7" s="197" t="n">
        <f aca="false">1-(SUM(Q5:Q6))</f>
        <v>0.33334</v>
      </c>
      <c r="R7" s="194" t="n">
        <v>30</v>
      </c>
      <c r="S7" s="195" t="n">
        <f aca="false">R7*2080</f>
        <v>62400</v>
      </c>
    </row>
    <row r="8" customFormat="false" ht="14.25" hidden="false" customHeight="true" outlineLevel="0" collapsed="false">
      <c r="A8" s="183" t="s">
        <v>2721</v>
      </c>
      <c r="B8" s="198" t="n">
        <v>2</v>
      </c>
      <c r="C8" s="198" t="n">
        <v>10</v>
      </c>
      <c r="E8" s="183" t="s">
        <v>2722</v>
      </c>
      <c r="H8" s="198" t="n">
        <v>15</v>
      </c>
      <c r="J8" s="183" t="s">
        <v>2723</v>
      </c>
      <c r="M8" s="191" t="n">
        <v>5000</v>
      </c>
      <c r="R8" s="199"/>
    </row>
    <row r="9" customFormat="false" ht="14.25" hidden="false" customHeight="true" outlineLevel="0" collapsed="false">
      <c r="A9" s="183" t="s">
        <v>2724</v>
      </c>
      <c r="B9" s="198" t="n">
        <v>7</v>
      </c>
      <c r="C9" s="198" t="n">
        <v>2</v>
      </c>
      <c r="E9" s="183" t="s">
        <v>2642</v>
      </c>
      <c r="H9" s="198" t="n">
        <v>1</v>
      </c>
      <c r="J9" s="183" t="s">
        <v>2725</v>
      </c>
      <c r="M9" s="198" t="n">
        <v>6</v>
      </c>
      <c r="O9" s="188" t="s">
        <v>2726</v>
      </c>
      <c r="P9" s="188"/>
      <c r="Q9" s="200" t="n">
        <f aca="false">SUM(Q5:Q8)</f>
        <v>1</v>
      </c>
      <c r="R9" s="201" t="n">
        <f aca="false">S9/2080</f>
        <v>27.500025</v>
      </c>
      <c r="S9" s="202" t="n">
        <f aca="false">(S5*Q5)+(S6*Q6)+(S7*Q7)</f>
        <v>57200.052</v>
      </c>
    </row>
    <row r="10" customFormat="false" ht="14.25" hidden="false" customHeight="true" outlineLevel="0" collapsed="false">
      <c r="A10" s="184" t="s">
        <v>2727</v>
      </c>
      <c r="E10" s="203" t="s">
        <v>2728</v>
      </c>
      <c r="H10" s="198" t="n">
        <v>0</v>
      </c>
      <c r="J10" s="183" t="s">
        <v>2729</v>
      </c>
      <c r="M10" s="204" t="n">
        <v>1.5</v>
      </c>
    </row>
    <row r="11" customFormat="false" ht="14.25" hidden="false" customHeight="true" outlineLevel="0" collapsed="false">
      <c r="E11" s="184" t="s">
        <v>2730</v>
      </c>
    </row>
    <row r="12" customFormat="false" ht="14.25" hidden="false" customHeight="true" outlineLevel="0" collapsed="false"/>
    <row r="13" customFormat="false" ht="14.25" hidden="false" customHeight="true" outlineLevel="0" collapsed="false">
      <c r="E13" s="184"/>
    </row>
    <row r="14" customFormat="false" ht="15" hidden="false" customHeight="true" outlineLevel="0" collapsed="false">
      <c r="A14" s="187" t="s">
        <v>2731</v>
      </c>
      <c r="B14" s="187"/>
      <c r="C14" s="187"/>
      <c r="D14" s="187"/>
      <c r="E14" s="187"/>
      <c r="F14" s="187"/>
      <c r="G14" s="187"/>
      <c r="H14" s="187"/>
      <c r="I14" s="187"/>
      <c r="J14" s="187"/>
      <c r="K14" s="187"/>
      <c r="L14" s="187"/>
      <c r="M14" s="187"/>
      <c r="N14" s="187"/>
      <c r="O14" s="187"/>
    </row>
    <row r="15" customFormat="false" ht="14.25" hidden="false" customHeight="true" outlineLevel="0" collapsed="false">
      <c r="A15" s="205" t="s">
        <v>2732</v>
      </c>
      <c r="B15" s="206" t="n">
        <v>2</v>
      </c>
      <c r="C15" s="206" t="n">
        <v>3</v>
      </c>
      <c r="D15" s="206" t="n">
        <v>4</v>
      </c>
      <c r="E15" s="206" t="n">
        <v>5</v>
      </c>
      <c r="F15" s="206" t="n">
        <v>6</v>
      </c>
      <c r="G15" s="206" t="n">
        <v>7</v>
      </c>
      <c r="H15" s="206" t="n">
        <v>8</v>
      </c>
      <c r="I15" s="206" t="n">
        <v>9</v>
      </c>
      <c r="J15" s="206" t="n">
        <v>10</v>
      </c>
      <c r="K15" s="206" t="n">
        <v>11</v>
      </c>
      <c r="L15" s="206" t="n">
        <v>12</v>
      </c>
      <c r="M15" s="206" t="n">
        <v>13</v>
      </c>
      <c r="N15" s="206" t="n">
        <v>14</v>
      </c>
      <c r="O15" s="206" t="n">
        <v>15</v>
      </c>
    </row>
    <row r="16" customFormat="false" ht="14.25" hidden="false" customHeight="true" outlineLevel="0" collapsed="false">
      <c r="A16" s="207" t="s">
        <v>2733</v>
      </c>
      <c r="B16" s="208" t="n">
        <v>7</v>
      </c>
      <c r="C16" s="208" t="n">
        <v>3</v>
      </c>
      <c r="D16" s="208" t="n">
        <v>3</v>
      </c>
      <c r="E16" s="208" t="n">
        <v>3</v>
      </c>
      <c r="F16" s="208" t="n">
        <v>3</v>
      </c>
      <c r="G16" s="208" t="n">
        <v>3</v>
      </c>
      <c r="H16" s="208" t="n">
        <v>3</v>
      </c>
      <c r="I16" s="208" t="n">
        <v>3</v>
      </c>
      <c r="J16" s="208" t="n">
        <v>4</v>
      </c>
      <c r="K16" s="208" t="n">
        <v>3</v>
      </c>
      <c r="L16" s="208" t="n">
        <v>3</v>
      </c>
      <c r="M16" s="208" t="n">
        <v>3</v>
      </c>
      <c r="N16" s="208" t="n">
        <v>3</v>
      </c>
      <c r="O16" s="208" t="n">
        <v>3</v>
      </c>
      <c r="P16" s="184" t="s">
        <v>2734</v>
      </c>
    </row>
    <row r="17" customFormat="false" ht="14.25" hidden="false" customHeight="true" outlineLevel="0" collapsed="false">
      <c r="A17" s="209" t="s">
        <v>2735</v>
      </c>
      <c r="B17" s="210" t="n">
        <f aca="false">B16</f>
        <v>7</v>
      </c>
      <c r="C17" s="210" t="n">
        <f aca="false">B17+C16</f>
        <v>10</v>
      </c>
      <c r="D17" s="210" t="n">
        <f aca="false">C17+D16</f>
        <v>13</v>
      </c>
      <c r="E17" s="210" t="n">
        <f aca="false">D17+E16</f>
        <v>16</v>
      </c>
      <c r="F17" s="210" t="n">
        <f aca="false">E17+F16</f>
        <v>19</v>
      </c>
      <c r="G17" s="210" t="n">
        <f aca="false">F17+G16</f>
        <v>22</v>
      </c>
      <c r="H17" s="210" t="n">
        <f aca="false">G17+H16</f>
        <v>25</v>
      </c>
      <c r="I17" s="210" t="n">
        <f aca="false">H17+I16</f>
        <v>28</v>
      </c>
      <c r="J17" s="210" t="n">
        <f aca="false">I17+J16</f>
        <v>32</v>
      </c>
      <c r="K17" s="210" t="n">
        <f aca="false">J17+K16</f>
        <v>35</v>
      </c>
      <c r="L17" s="210" t="n">
        <f aca="false">K17+L16</f>
        <v>38</v>
      </c>
      <c r="M17" s="210" t="n">
        <f aca="false">L17+M16</f>
        <v>41</v>
      </c>
      <c r="N17" s="210" t="n">
        <f aca="false">M17+N16</f>
        <v>44</v>
      </c>
      <c r="O17" s="210" t="n">
        <f aca="false">N17+O16</f>
        <v>47</v>
      </c>
    </row>
    <row r="18" customFormat="false" ht="14.25" hidden="false" customHeight="true" outlineLevel="0" collapsed="false"/>
    <row r="19" customFormat="false" ht="14.25" hidden="false" customHeight="true" outlineLevel="0" collapsed="false">
      <c r="A19" s="187" t="s">
        <v>2736</v>
      </c>
      <c r="B19" s="187"/>
      <c r="C19" s="187"/>
      <c r="D19" s="187"/>
      <c r="E19" s="187"/>
      <c r="F19" s="187"/>
      <c r="G19" s="187"/>
      <c r="H19" s="187"/>
      <c r="I19" s="187"/>
      <c r="J19" s="187"/>
      <c r="K19" s="187"/>
      <c r="L19" s="187"/>
      <c r="M19" s="187"/>
      <c r="N19" s="187"/>
      <c r="O19" s="187"/>
    </row>
    <row r="20" customFormat="false" ht="14.25" hidden="false" customHeight="true" outlineLevel="0" collapsed="false">
      <c r="A20" s="205" t="s">
        <v>2737</v>
      </c>
      <c r="B20" s="211" t="n">
        <v>10</v>
      </c>
      <c r="C20" s="211" t="n">
        <v>20</v>
      </c>
      <c r="D20" s="211" t="n">
        <v>30</v>
      </c>
      <c r="E20" s="211" t="n">
        <v>40</v>
      </c>
      <c r="F20" s="211" t="n">
        <v>50</v>
      </c>
      <c r="G20" s="211" t="n">
        <v>60</v>
      </c>
      <c r="H20" s="211" t="n">
        <v>70</v>
      </c>
      <c r="I20" s="211" t="n">
        <v>80</v>
      </c>
      <c r="J20" s="211" t="n">
        <v>90</v>
      </c>
      <c r="K20" s="211" t="n">
        <v>100</v>
      </c>
      <c r="L20" s="211" t="n">
        <v>110</v>
      </c>
      <c r="M20" s="211" t="n">
        <v>120</v>
      </c>
      <c r="N20" s="211" t="n">
        <v>130</v>
      </c>
      <c r="O20" s="211" t="n">
        <v>140</v>
      </c>
    </row>
    <row r="21" customFormat="false" ht="14.25" hidden="false" customHeight="true" outlineLevel="0" collapsed="false">
      <c r="A21" s="207" t="s">
        <v>2733</v>
      </c>
      <c r="B21" s="208" t="n">
        <v>3</v>
      </c>
      <c r="C21" s="208" t="n">
        <v>3</v>
      </c>
      <c r="D21" s="208" t="n">
        <v>3</v>
      </c>
      <c r="E21" s="208" t="n">
        <v>3</v>
      </c>
      <c r="F21" s="208" t="n">
        <v>3</v>
      </c>
      <c r="G21" s="208" t="n">
        <v>3</v>
      </c>
      <c r="H21" s="208" t="n">
        <v>3</v>
      </c>
      <c r="I21" s="208" t="n">
        <v>3</v>
      </c>
      <c r="J21" s="208" t="n">
        <v>3</v>
      </c>
      <c r="K21" s="208" t="n">
        <v>3</v>
      </c>
      <c r="L21" s="208" t="n">
        <v>3</v>
      </c>
      <c r="M21" s="208" t="n">
        <v>3</v>
      </c>
      <c r="N21" s="208" t="n">
        <v>3</v>
      </c>
      <c r="O21" s="208" t="n">
        <v>3</v>
      </c>
      <c r="P21" s="184" t="s">
        <v>2738</v>
      </c>
    </row>
    <row r="22" customFormat="false" ht="14.25" hidden="false" customHeight="true" outlineLevel="0" collapsed="false">
      <c r="A22" s="209" t="s">
        <v>2735</v>
      </c>
      <c r="B22" s="210" t="n">
        <f aca="false">B21</f>
        <v>3</v>
      </c>
      <c r="C22" s="210" t="n">
        <f aca="false">B22+C21</f>
        <v>6</v>
      </c>
      <c r="D22" s="210" t="n">
        <f aca="false">C22+D21</f>
        <v>9</v>
      </c>
      <c r="E22" s="210" t="n">
        <f aca="false">D22+E21</f>
        <v>12</v>
      </c>
      <c r="F22" s="210" t="n">
        <f aca="false">E22+F21</f>
        <v>15</v>
      </c>
      <c r="G22" s="210" t="n">
        <f aca="false">F22+G21</f>
        <v>18</v>
      </c>
      <c r="H22" s="210" t="n">
        <f aca="false">G22+H21</f>
        <v>21</v>
      </c>
      <c r="I22" s="210" t="n">
        <f aca="false">H22+I21</f>
        <v>24</v>
      </c>
      <c r="J22" s="210" t="n">
        <f aca="false">I22+J21</f>
        <v>27</v>
      </c>
      <c r="K22" s="210" t="n">
        <f aca="false">J22+K21</f>
        <v>30</v>
      </c>
      <c r="L22" s="210" t="n">
        <f aca="false">K22+L21</f>
        <v>33</v>
      </c>
      <c r="M22" s="210" t="n">
        <f aca="false">L22+M21</f>
        <v>36</v>
      </c>
      <c r="N22" s="210" t="n">
        <f aca="false">M22+N21</f>
        <v>39</v>
      </c>
      <c r="O22" s="210" t="n">
        <f aca="false">N22+O21</f>
        <v>42</v>
      </c>
    </row>
    <row r="23" customFormat="false" ht="14.25" hidden="false" customHeight="true" outlineLevel="0" collapsed="false"/>
    <row r="24" customFormat="false" ht="14.25" hidden="false" customHeight="true" outlineLevel="0" collapsed="false">
      <c r="A24" s="212" t="s">
        <v>2739</v>
      </c>
      <c r="B24" s="213" t="n">
        <f aca="false">DeploySum!B4</f>
        <v>46295</v>
      </c>
      <c r="C24" s="213" t="n">
        <f aca="false">DeploySum!C4</f>
        <v>46326</v>
      </c>
      <c r="D24" s="213" t="n">
        <f aca="false">DeploySum!D4</f>
        <v>46356</v>
      </c>
      <c r="E24" s="213" t="n">
        <f aca="false">DeploySum!E4</f>
        <v>46387</v>
      </c>
      <c r="F24" s="213" t="n">
        <f aca="false">DeploySum!F4</f>
        <v>46418</v>
      </c>
      <c r="G24" s="213" t="n">
        <f aca="false">DeploySum!G4</f>
        <v>46446</v>
      </c>
      <c r="H24" s="213" t="n">
        <f aca="false">DeploySum!H4</f>
        <v>46477</v>
      </c>
      <c r="I24" s="213" t="n">
        <f aca="false">DeploySum!I4</f>
        <v>46507</v>
      </c>
      <c r="J24" s="213" t="n">
        <f aca="false">DeploySum!J4</f>
        <v>46538</v>
      </c>
      <c r="K24" s="213" t="n">
        <f aca="false">DeploySum!K4</f>
        <v>46568</v>
      </c>
      <c r="L24" s="213" t="n">
        <f aca="false">DeploySum!L4</f>
        <v>46599</v>
      </c>
      <c r="M24" s="213" t="n">
        <f aca="false">DeploySum!M4</f>
        <v>46630</v>
      </c>
      <c r="N24" s="213" t="n">
        <f aca="false">DeploySum!N4</f>
        <v>46660</v>
      </c>
      <c r="O24" s="213" t="n">
        <f aca="false">DeploySum!O4</f>
        <v>46691</v>
      </c>
      <c r="P24" s="213" t="n">
        <f aca="false">DeploySum!P4</f>
        <v>46721</v>
      </c>
      <c r="Q24" s="213" t="n">
        <f aca="false">DeploySum!Q4</f>
        <v>46752</v>
      </c>
      <c r="R24" s="214" t="s">
        <v>2664</v>
      </c>
      <c r="S24" s="214" t="s">
        <v>2325</v>
      </c>
    </row>
    <row r="25" customFormat="false" ht="14.25" hidden="false" customHeight="true" outlineLevel="0" collapsed="false">
      <c r="A25" s="183" t="s">
        <v>2740</v>
      </c>
      <c r="B25" s="215" t="n">
        <f aca="false">DeploySum!B24</f>
        <v>9</v>
      </c>
      <c r="C25" s="215" t="n">
        <f aca="false">DeploySum!C24</f>
        <v>0</v>
      </c>
      <c r="D25" s="215" t="n">
        <f aca="false">DeploySum!D24</f>
        <v>20</v>
      </c>
      <c r="E25" s="215" t="n">
        <f aca="false">DeploySum!E24</f>
        <v>8</v>
      </c>
      <c r="F25" s="215" t="n">
        <f aca="false">DeploySum!F24</f>
        <v>0</v>
      </c>
      <c r="G25" s="215" t="n">
        <f aca="false">DeploySum!G24</f>
        <v>22</v>
      </c>
      <c r="H25" s="215" t="n">
        <f aca="false">DeploySum!H24</f>
        <v>14</v>
      </c>
      <c r="I25" s="215" t="n">
        <f aca="false">DeploySum!I24</f>
        <v>20</v>
      </c>
      <c r="J25" s="215" t="n">
        <f aca="false">DeploySum!J24</f>
        <v>18</v>
      </c>
      <c r="K25" s="215" t="n">
        <f aca="false">DeploySum!K24</f>
        <v>22</v>
      </c>
      <c r="L25" s="215" t="n">
        <f aca="false">DeploySum!L24</f>
        <v>28</v>
      </c>
      <c r="M25" s="215" t="n">
        <f aca="false">DeploySum!M24</f>
        <v>28</v>
      </c>
      <c r="N25" s="215" t="n">
        <f aca="false">DeploySum!N24</f>
        <v>34</v>
      </c>
      <c r="O25" s="215" t="n">
        <f aca="false">DeploySum!O24</f>
        <v>36</v>
      </c>
      <c r="P25" s="215" t="n">
        <f aca="false">DeploySum!P24</f>
        <v>42</v>
      </c>
      <c r="Q25" s="215" t="n">
        <f aca="false">DeploySum!Q24</f>
        <v>48</v>
      </c>
      <c r="R25" s="216" t="n">
        <f aca="false">SUM(B25:E25)</f>
        <v>37</v>
      </c>
      <c r="S25" s="216" t="n">
        <f aca="false">SUM(F25:Q25)</f>
        <v>312</v>
      </c>
    </row>
    <row r="26" customFormat="false" ht="14.25" hidden="false" customHeight="true" outlineLevel="0" collapsed="false">
      <c r="A26" s="183" t="s">
        <v>2741</v>
      </c>
      <c r="B26" s="217" t="n">
        <f aca="false">DeploySum!B27</f>
        <v>2.1</v>
      </c>
      <c r="C26" s="217" t="n">
        <f aca="false">DeploySum!C27</f>
        <v>0</v>
      </c>
      <c r="D26" s="217" t="n">
        <f aca="false">DeploySum!D27</f>
        <v>4.66666666666667</v>
      </c>
      <c r="E26" s="217" t="n">
        <f aca="false">DeploySum!E27</f>
        <v>1.80645161290323</v>
      </c>
      <c r="F26" s="217" t="n">
        <f aca="false">DeploySum!F27</f>
        <v>0</v>
      </c>
      <c r="G26" s="217" t="n">
        <f aca="false">DeploySum!G27</f>
        <v>5.5</v>
      </c>
      <c r="H26" s="217" t="n">
        <f aca="false">DeploySum!H27</f>
        <v>3.16129032258065</v>
      </c>
      <c r="I26" s="217" t="n">
        <f aca="false">DeploySum!I27</f>
        <v>4.66666666666667</v>
      </c>
      <c r="J26" s="217" t="n">
        <f aca="false">DeploySum!J27</f>
        <v>4.06451612903226</v>
      </c>
      <c r="K26" s="217" t="n">
        <f aca="false">DeploySum!K27</f>
        <v>5.13333333333333</v>
      </c>
      <c r="L26" s="217" t="n">
        <f aca="false">DeploySum!L27</f>
        <v>6.32258064516129</v>
      </c>
      <c r="M26" s="217" t="n">
        <f aca="false">DeploySum!M27</f>
        <v>6.32258064516129</v>
      </c>
      <c r="N26" s="217" t="n">
        <f aca="false">DeploySum!N27</f>
        <v>7.93333333333333</v>
      </c>
      <c r="O26" s="217" t="n">
        <f aca="false">DeploySum!O27</f>
        <v>8.12903225806452</v>
      </c>
      <c r="P26" s="217" t="n">
        <f aca="false">DeploySum!P27</f>
        <v>9.8</v>
      </c>
      <c r="Q26" s="217" t="n">
        <f aca="false">DeploySum!Q27</f>
        <v>10.8387096774194</v>
      </c>
      <c r="R26" s="218" t="n">
        <f aca="false">AVERAGE(B26:E26)</f>
        <v>2.14327956989247</v>
      </c>
      <c r="S26" s="218" t="n">
        <f aca="false">AVERAGE(F26:Q26)</f>
        <v>5.98933691756272</v>
      </c>
      <c r="T26" s="184" t="s">
        <v>2742</v>
      </c>
    </row>
    <row r="27" customFormat="false" ht="14.25" hidden="false" customHeight="true" outlineLevel="0" collapsed="false">
      <c r="A27" s="183" t="s">
        <v>2743</v>
      </c>
      <c r="B27" s="219" t="n">
        <f aca="false">MIN(MAX($B$8,ROUNDUP(B26,0)),MAX($B$15:$O$15))</f>
        <v>3</v>
      </c>
      <c r="C27" s="219" t="n">
        <f aca="false">MIN(MAX($B$8,ROUNDUP(C26,0)),MAX($B$15:$O$15))</f>
        <v>2</v>
      </c>
      <c r="D27" s="219" t="n">
        <f aca="false">MIN(MAX($B$8,ROUNDUP(D26,0)),MAX($B$15:$O$15))</f>
        <v>5</v>
      </c>
      <c r="E27" s="219" t="n">
        <f aca="false">MIN(MAX($B$8,ROUNDUP(E26,0)),MAX($B$15:$O$15))</f>
        <v>2</v>
      </c>
      <c r="F27" s="219" t="n">
        <f aca="false">MIN(MAX($B$8,ROUNDUP(F26,0)),MAX($B$15:$O$15))</f>
        <v>2</v>
      </c>
      <c r="G27" s="219" t="n">
        <f aca="false">MIN(MAX($B$8,ROUNDUP(G26,0)),MAX($B$15:$O$15))</f>
        <v>6</v>
      </c>
      <c r="H27" s="219" t="n">
        <f aca="false">MIN(MAX($B$8,ROUNDUP(H26,0)),MAX($B$15:$O$15))</f>
        <v>4</v>
      </c>
      <c r="I27" s="219" t="n">
        <f aca="false">MIN(MAX($B$8,ROUNDUP(I26,0)),MAX($B$15:$O$15))</f>
        <v>5</v>
      </c>
      <c r="J27" s="219" t="n">
        <f aca="false">MIN(MAX($B$8,ROUNDUP(J26,0)),MAX($B$15:$O$15))</f>
        <v>5</v>
      </c>
      <c r="K27" s="219" t="n">
        <f aca="false">MIN(MAX($B$8,ROUNDUP(K26,0)),MAX($B$15:$O$15))</f>
        <v>6</v>
      </c>
      <c r="L27" s="219" t="n">
        <f aca="false">MIN(MAX($B$8,ROUNDUP(L26,0)),MAX($B$15:$O$15))</f>
        <v>7</v>
      </c>
      <c r="M27" s="219" t="n">
        <f aca="false">MIN(MAX($B$8,ROUNDUP(M26,0)),MAX($B$15:$O$15))</f>
        <v>7</v>
      </c>
      <c r="N27" s="219" t="n">
        <f aca="false">MIN(MAX($B$8,ROUNDUP(N26,0)),MAX($B$15:$O$15))</f>
        <v>8</v>
      </c>
      <c r="O27" s="219" t="n">
        <f aca="false">MIN(MAX($B$8,ROUNDUP(O26,0)),MAX($B$15:$O$15))</f>
        <v>9</v>
      </c>
      <c r="P27" s="219" t="n">
        <f aca="false">MIN(MAX($B$8,ROUNDUP(P26,0)),MAX($B$15:$O$15))</f>
        <v>10</v>
      </c>
      <c r="Q27" s="219" t="n">
        <f aca="false">MIN(MAX($B$8,ROUNDUP(Q26,0)),MAX($B$15:$O$15))</f>
        <v>11</v>
      </c>
      <c r="R27" s="220"/>
      <c r="S27" s="220"/>
      <c r="T27" s="184"/>
    </row>
    <row r="28" customFormat="false" ht="14.25" hidden="false" customHeight="true" outlineLevel="0" collapsed="false">
      <c r="A28" s="183" t="s">
        <v>2744</v>
      </c>
      <c r="B28" s="221" t="n">
        <f aca="false" t="array" ref="B28:B28">INDEX($B$17:$O$17,MATCH(B27,$B$15:$O$15,0))</f>
        <v>10</v>
      </c>
      <c r="C28" s="221" t="n">
        <f aca="false">MAX(B28,INDEX($B$17:$O$17,MATCH(C27,$B$15:$O$15,0)))</f>
        <v>10</v>
      </c>
      <c r="D28" s="221" t="n">
        <f aca="false">MAX(C28,INDEX($B$17:$O$17,MATCH(D27,$B$15:$O$15,0)))</f>
        <v>16</v>
      </c>
      <c r="E28" s="221" t="n">
        <f aca="false">MAX(D28,INDEX($B$17:$O$17,MATCH(E27,$B$15:$O$15,0)))</f>
        <v>16</v>
      </c>
      <c r="F28" s="221" t="n">
        <f aca="false">MAX(E28,INDEX($B$17:$O$17,MATCH(F27,$B$15:$O$15,0)))</f>
        <v>16</v>
      </c>
      <c r="G28" s="221" t="n">
        <f aca="false">MAX(F28,INDEX($B$17:$O$17,MATCH(G27,$B$15:$O$15,0)))</f>
        <v>19</v>
      </c>
      <c r="H28" s="221" t="n">
        <f aca="false">MAX(G28,INDEX($B$17:$O$17,MATCH(H27,$B$15:$O$15,0)))</f>
        <v>19</v>
      </c>
      <c r="I28" s="221" t="n">
        <f aca="false">MAX(H28,INDEX($B$17:$O$17,MATCH(I27,$B$15:$O$15,0)))</f>
        <v>19</v>
      </c>
      <c r="J28" s="221" t="n">
        <f aca="false">MAX(I28,INDEX($B$17:$O$17,MATCH(J27,$B$15:$O$15,0)))</f>
        <v>19</v>
      </c>
      <c r="K28" s="221" t="n">
        <f aca="false">MAX(J28,INDEX($B$17:$O$17,MATCH(K27,$B$15:$O$15,0)))</f>
        <v>19</v>
      </c>
      <c r="L28" s="221" t="n">
        <f aca="false">MAX(K28,INDEX($B$17:$O$17,MATCH(L27,$B$15:$O$15,0)))</f>
        <v>22</v>
      </c>
      <c r="M28" s="221" t="n">
        <f aca="false">MAX(L28,INDEX($B$17:$O$17,MATCH(M27,$B$15:$O$15,0)))</f>
        <v>22</v>
      </c>
      <c r="N28" s="221" t="n">
        <f aca="false">MAX(M28,INDEX($B$17:$O$17,MATCH(N27,$B$15:$O$15,0)))</f>
        <v>25</v>
      </c>
      <c r="O28" s="221" t="n">
        <f aca="false">MAX(N28,INDEX($B$17:$O$17,MATCH(O27,$B$15:$O$15,0)))</f>
        <v>28</v>
      </c>
      <c r="P28" s="221" t="n">
        <f aca="false">MAX(O28,INDEX($B$17:$O$17,MATCH(P27,$B$15:$O$15,0)))</f>
        <v>32</v>
      </c>
      <c r="Q28" s="221" t="n">
        <f aca="false">MAX(P28,INDEX($B$17:$O$17,MATCH(Q27,$B$15:$O$15,0)))</f>
        <v>35</v>
      </c>
      <c r="R28" s="222" t="n">
        <f aca="false">AVERAGE(B28:E28)</f>
        <v>13</v>
      </c>
      <c r="S28" s="222" t="n">
        <f aca="false">AVERAGE(F28:Q28)</f>
        <v>22.9166666666667</v>
      </c>
      <c r="T28" s="184"/>
    </row>
    <row r="29" customFormat="false" ht="14.25" hidden="false" customHeight="true" outlineLevel="0" collapsed="false">
      <c r="A29" s="183" t="s">
        <v>2724</v>
      </c>
      <c r="B29" s="221" t="n">
        <f aca="false">$B$9</f>
        <v>7</v>
      </c>
      <c r="C29" s="221" t="n">
        <f aca="false">$B$9</f>
        <v>7</v>
      </c>
      <c r="D29" s="221" t="n">
        <f aca="false">$B$9</f>
        <v>7</v>
      </c>
      <c r="E29" s="221" t="n">
        <f aca="false">$B$9</f>
        <v>7</v>
      </c>
      <c r="F29" s="221" t="n">
        <f aca="false">$B$9</f>
        <v>7</v>
      </c>
      <c r="G29" s="221" t="n">
        <f aca="false">$B$9</f>
        <v>7</v>
      </c>
      <c r="H29" s="221" t="n">
        <f aca="false">$B$9</f>
        <v>7</v>
      </c>
      <c r="I29" s="221" t="n">
        <f aca="false">$B$9</f>
        <v>7</v>
      </c>
      <c r="J29" s="221" t="n">
        <f aca="false">$B$9</f>
        <v>7</v>
      </c>
      <c r="K29" s="221" t="n">
        <f aca="false">$B$9</f>
        <v>7</v>
      </c>
      <c r="L29" s="221" t="n">
        <f aca="false">$B$9</f>
        <v>7</v>
      </c>
      <c r="M29" s="221" t="n">
        <f aca="false">$B$9</f>
        <v>7</v>
      </c>
      <c r="N29" s="221" t="n">
        <f aca="false">$B$9</f>
        <v>7</v>
      </c>
      <c r="O29" s="221" t="n">
        <f aca="false">$B$9</f>
        <v>7</v>
      </c>
      <c r="P29" s="221" t="n">
        <f aca="false">$B$9</f>
        <v>7</v>
      </c>
      <c r="Q29" s="221" t="n">
        <f aca="false">$B$9</f>
        <v>7</v>
      </c>
      <c r="R29" s="222" t="n">
        <f aca="false">AVERAGE(B29:E29)</f>
        <v>7</v>
      </c>
      <c r="S29" s="222" t="n">
        <f aca="false">AVERAGE(F29:Q29)</f>
        <v>7</v>
      </c>
      <c r="T29" s="184"/>
    </row>
    <row r="30" customFormat="false" ht="14.25" hidden="false" customHeight="true" outlineLevel="0" collapsed="false">
      <c r="A30" s="183" t="s">
        <v>2745</v>
      </c>
      <c r="B30" s="221" t="n">
        <f aca="false">MAX(0,B28-B29)</f>
        <v>3</v>
      </c>
      <c r="C30" s="221" t="n">
        <f aca="false">MAX(0,C28-C29)</f>
        <v>3</v>
      </c>
      <c r="D30" s="221" t="n">
        <f aca="false">MAX(0,D28-D29)</f>
        <v>9</v>
      </c>
      <c r="E30" s="221" t="n">
        <f aca="false">MAX(0,E28-E29)</f>
        <v>9</v>
      </c>
      <c r="F30" s="221" t="n">
        <f aca="false">MAX(0,F28-F29)</f>
        <v>9</v>
      </c>
      <c r="G30" s="221" t="n">
        <f aca="false">MAX(0,G28-G29)</f>
        <v>12</v>
      </c>
      <c r="H30" s="221" t="n">
        <f aca="false">MAX(0,H28-H29)</f>
        <v>12</v>
      </c>
      <c r="I30" s="221" t="n">
        <f aca="false">MAX(0,I28-I29)</f>
        <v>12</v>
      </c>
      <c r="J30" s="221" t="n">
        <f aca="false">MAX(0,J28-J29)</f>
        <v>12</v>
      </c>
      <c r="K30" s="221" t="n">
        <f aca="false">MAX(0,K28-K29)</f>
        <v>12</v>
      </c>
      <c r="L30" s="221" t="n">
        <f aca="false">MAX(0,L28-L29)</f>
        <v>15</v>
      </c>
      <c r="M30" s="221" t="n">
        <f aca="false">MAX(0,M28-M29)</f>
        <v>15</v>
      </c>
      <c r="N30" s="221" t="n">
        <f aca="false">MAX(0,N28-N29)</f>
        <v>18</v>
      </c>
      <c r="O30" s="221" t="n">
        <f aca="false">MAX(0,O28-O29)</f>
        <v>21</v>
      </c>
      <c r="P30" s="221" t="n">
        <f aca="false">MAX(0,P28-P29)</f>
        <v>25</v>
      </c>
      <c r="Q30" s="221" t="n">
        <f aca="false">MAX(0,Q28-Q29)</f>
        <v>28</v>
      </c>
      <c r="R30" s="222" t="n">
        <f aca="false">AVERAGE(B30:E30)</f>
        <v>6</v>
      </c>
      <c r="S30" s="222" t="n">
        <f aca="false">AVERAGE(F30:Q30)</f>
        <v>15.9166666666667</v>
      </c>
      <c r="T30" s="184"/>
    </row>
    <row r="31" customFormat="false" ht="14.25" hidden="false" customHeight="true" outlineLevel="0" collapsed="false">
      <c r="A31" s="183" t="s">
        <v>2746</v>
      </c>
      <c r="B31" s="221" t="n">
        <f aca="false">B29+B30</f>
        <v>10</v>
      </c>
      <c r="C31" s="221" t="n">
        <f aca="false">C29+C30</f>
        <v>10</v>
      </c>
      <c r="D31" s="221" t="n">
        <f aca="false">D29+D30</f>
        <v>16</v>
      </c>
      <c r="E31" s="221" t="n">
        <f aca="false">E29+E30</f>
        <v>16</v>
      </c>
      <c r="F31" s="221" t="n">
        <f aca="false">F29+F30</f>
        <v>16</v>
      </c>
      <c r="G31" s="221" t="n">
        <f aca="false">G29+G30</f>
        <v>19</v>
      </c>
      <c r="H31" s="221" t="n">
        <f aca="false">H29+H30</f>
        <v>19</v>
      </c>
      <c r="I31" s="221" t="n">
        <f aca="false">I29+I30</f>
        <v>19</v>
      </c>
      <c r="J31" s="221" t="n">
        <f aca="false">J29+J30</f>
        <v>19</v>
      </c>
      <c r="K31" s="221" t="n">
        <f aca="false">K29+K30</f>
        <v>19</v>
      </c>
      <c r="L31" s="221" t="n">
        <f aca="false">L29+L30</f>
        <v>22</v>
      </c>
      <c r="M31" s="221" t="n">
        <f aca="false">M29+M30</f>
        <v>22</v>
      </c>
      <c r="N31" s="221" t="n">
        <f aca="false">N29+N30</f>
        <v>25</v>
      </c>
      <c r="O31" s="221" t="n">
        <f aca="false">O29+O30</f>
        <v>28</v>
      </c>
      <c r="P31" s="221" t="n">
        <f aca="false">P29+P30</f>
        <v>32</v>
      </c>
      <c r="Q31" s="221" t="n">
        <f aca="false">Q29+Q30</f>
        <v>35</v>
      </c>
      <c r="R31" s="222" t="n">
        <f aca="false">AVERAGE(B31:E31)</f>
        <v>13</v>
      </c>
      <c r="S31" s="222" t="n">
        <f aca="false">AVERAGE(F31:Q31)</f>
        <v>22.9166666666667</v>
      </c>
      <c r="T31" s="184" t="s">
        <v>2747</v>
      </c>
    </row>
    <row r="32" customFormat="false" ht="14.25" hidden="false" customHeight="true" outlineLevel="0" collapsed="false">
      <c r="A32" s="183" t="s">
        <v>2666</v>
      </c>
      <c r="B32" s="223" t="n">
        <f aca="false">B31*$B$5/12+IF(B$24&gt;=$M$6,MIN(B31,INDEX($B31:$Q31,IFERROR(MATCH(EOMONTH($M$6,-$M$9-1),$B$24:$Q$24,0),1)))*$B$5/12*$M$5,0)</f>
        <v>47666.71</v>
      </c>
      <c r="C32" s="223" t="n">
        <f aca="false">C31*$B$5/12+IF(C$24&gt;=$M$6,MIN(C31,INDEX($B31:$Q31,IFERROR(MATCH(EOMONTH($M$6,-$M$9-1),$B$24:$Q$24,0),1)))*$B$5/12*$M$5,0)</f>
        <v>47666.71</v>
      </c>
      <c r="D32" s="223" t="n">
        <f aca="false">D31*$B$5/12+IF(D$24&gt;=$M$6,MIN(D31,INDEX($B31:$Q31,IFERROR(MATCH(EOMONTH($M$6,-$M$9-1),$B$24:$Q$24,0),1)))*$B$5/12*$M$5,0)</f>
        <v>76266.736</v>
      </c>
      <c r="E32" s="223" t="n">
        <f aca="false">E31*$B$5/12+IF(E$24&gt;=$M$6,MIN(E31,INDEX($B31:$Q31,IFERROR(MATCH(EOMONTH($M$6,-$M$9-1),$B$24:$Q$24,0),1)))*$B$5/12*$M$5,0)</f>
        <v>76266.736</v>
      </c>
      <c r="F32" s="223" t="n">
        <f aca="false">F31*$B$5/12+IF(F$24&gt;=$M$6,MIN(F31,INDEX($B31:$Q31,IFERROR(MATCH(EOMONTH($M$6,-$M$9-1),$B$24:$Q$24,0),1)))*$B$5/12*$M$5,0)</f>
        <v>76266.736</v>
      </c>
      <c r="G32" s="223" t="n">
        <f aca="false">G31*$B$5/12+IF(G$24&gt;=$M$6,MIN(G31,INDEX($B31:$Q31,IFERROR(MATCH(EOMONTH($M$6,-$M$9-1),$B$24:$Q$24,0),1)))*$B$5/12*$M$5,0)</f>
        <v>90566.749</v>
      </c>
      <c r="H32" s="223" t="n">
        <f aca="false">H31*$B$5/12+IF(H$24&gt;=$M$6,MIN(H31,INDEX($B31:$Q31,IFERROR(MATCH(EOMONTH($M$6,-$M$9-1),$B$24:$Q$24,0),1)))*$B$5/12*$M$5,0)</f>
        <v>90566.749</v>
      </c>
      <c r="I32" s="223" t="n">
        <f aca="false">I31*$B$5/12+IF(I$24&gt;=$M$6,MIN(I31,INDEX($B31:$Q31,IFERROR(MATCH(EOMONTH($M$6,-$M$9-1),$B$24:$Q$24,0),1)))*$B$5/12*$M$5,0)</f>
        <v>90566.749</v>
      </c>
      <c r="J32" s="223" t="n">
        <f aca="false">J31*$B$5/12+IF(J$24&gt;=$M$6,MIN(J31,INDEX($B31:$Q31,IFERROR(MATCH(EOMONTH($M$6,-$M$9-1),$B$24:$Q$24,0),1)))*$B$5/12*$M$5,0)</f>
        <v>90566.749</v>
      </c>
      <c r="K32" s="223" t="n">
        <f aca="false">K31*$B$5/12+IF(K$24&gt;=$M$6,MIN(K31,INDEX($B31:$Q31,IFERROR(MATCH(EOMONTH($M$6,-$M$9-1),$B$24:$Q$24,0),1)))*$B$5/12*$M$5,0)</f>
        <v>90566.749</v>
      </c>
      <c r="L32" s="223" t="n">
        <f aca="false">L31*$B$5/12+IF(L$24&gt;=$M$6,MIN(L31,INDEX($B31:$Q31,IFERROR(MATCH(EOMONTH($M$6,-$M$9-1),$B$24:$Q$24,0),1)))*$B$5/12*$M$5,0)</f>
        <v>104866.762</v>
      </c>
      <c r="M32" s="223" t="n">
        <f aca="false">M31*$B$5/12+IF(M$24&gt;=$M$6,MIN(M31,INDEX($B31:$Q31,IFERROR(MATCH(EOMONTH($M$6,-$M$9-1),$B$24:$Q$24,0),1)))*$B$5/12*$M$5,0)</f>
        <v>104866.762</v>
      </c>
      <c r="N32" s="223" t="n">
        <f aca="false">N31*$B$5/12+IF(N$24&gt;=$M$6,MIN(N31,INDEX($B31:$Q31,IFERROR(MATCH(EOMONTH($M$6,-$M$9-1),$B$24:$Q$24,0),1)))*$B$5/12*$M$5,0)</f>
        <v>119166.775</v>
      </c>
      <c r="O32" s="223" t="n">
        <f aca="false">O31*$B$5/12+IF(O$24&gt;=$M$6,MIN(O31,INDEX($B31:$Q31,IFERROR(MATCH(EOMONTH($M$6,-$M$9-1),$B$24:$Q$24,0),1)))*$B$5/12*$M$5,0)</f>
        <v>136183.79047</v>
      </c>
      <c r="P32" s="223" t="n">
        <f aca="false">P31*$B$5/12+IF(P$24&gt;=$M$6,MIN(P31,INDEX($B31:$Q31,IFERROR(MATCH(EOMONTH($M$6,-$M$9-1),$B$24:$Q$24,0),1)))*$B$5/12*$M$5,0)</f>
        <v>155250.47447</v>
      </c>
      <c r="Q32" s="223" t="n">
        <f aca="false">Q31*$B$5/12+IF(Q$24&gt;=$M$6,MIN(Q31,INDEX($B31:$Q31,IFERROR(MATCH(EOMONTH($M$6,-$M$9-1),$B$24:$Q$24,0),1)))*$B$5/12*$M$5,0)</f>
        <v>169550.48747</v>
      </c>
      <c r="R32" s="224" t="n">
        <f aca="false">SUM(B32:E32)</f>
        <v>247866.892</v>
      </c>
      <c r="S32" s="224" t="n">
        <f aca="false">SUM(F32:Q32)</f>
        <v>1318985.53241</v>
      </c>
    </row>
    <row r="33" customFormat="false" ht="14.25" hidden="false" customHeight="true" outlineLevel="0" collapsed="false">
      <c r="A33" s="183" t="s">
        <v>2748</v>
      </c>
      <c r="B33" s="225" t="n">
        <v>0.05</v>
      </c>
      <c r="C33" s="225" t="n">
        <v>0.05</v>
      </c>
      <c r="D33" s="225" t="n">
        <v>0.06</v>
      </c>
      <c r="E33" s="225" t="n">
        <v>0.08</v>
      </c>
      <c r="F33" s="225" t="n">
        <v>0.05</v>
      </c>
      <c r="G33" s="225" t="n">
        <v>0.05</v>
      </c>
      <c r="H33" s="225" t="n">
        <v>0.05</v>
      </c>
      <c r="I33" s="225" t="n">
        <v>0.05</v>
      </c>
      <c r="J33" s="225" t="n">
        <v>0.06</v>
      </c>
      <c r="K33" s="225" t="n">
        <v>0.07</v>
      </c>
      <c r="L33" s="225" t="n">
        <v>0.08</v>
      </c>
      <c r="M33" s="225" t="n">
        <v>0.07</v>
      </c>
      <c r="N33" s="225" t="n">
        <v>0.05</v>
      </c>
      <c r="O33" s="225" t="n">
        <v>0.05</v>
      </c>
      <c r="P33" s="225" t="n">
        <v>0.06</v>
      </c>
      <c r="Q33" s="225" t="n">
        <v>0.08</v>
      </c>
      <c r="R33" s="226" t="n">
        <f aca="false">IFERROR(R34/R32,0)</f>
        <v>0.0623076923076923</v>
      </c>
      <c r="S33" s="226" t="n">
        <f aca="false">IFERROR(S34/S32,0)</f>
        <v>0.0610686278052835</v>
      </c>
      <c r="T33" s="184" t="s">
        <v>2749</v>
      </c>
    </row>
    <row r="34" customFormat="false" ht="14.25" hidden="false" customHeight="true" outlineLevel="0" collapsed="false">
      <c r="A34" s="183" t="s">
        <v>2750</v>
      </c>
      <c r="B34" s="223" t="n">
        <f aca="false">B32*B33</f>
        <v>2383.3355</v>
      </c>
      <c r="C34" s="223" t="n">
        <f aca="false">C32*C33</f>
        <v>2383.3355</v>
      </c>
      <c r="D34" s="223" t="n">
        <f aca="false">D32*D33</f>
        <v>4576.00416</v>
      </c>
      <c r="E34" s="223" t="n">
        <f aca="false">E32*E33</f>
        <v>6101.33888</v>
      </c>
      <c r="F34" s="223" t="n">
        <f aca="false">F32*F33</f>
        <v>3813.3368</v>
      </c>
      <c r="G34" s="223" t="n">
        <f aca="false">G32*G33</f>
        <v>4528.33745</v>
      </c>
      <c r="H34" s="223" t="n">
        <f aca="false">H32*H33</f>
        <v>4528.33745</v>
      </c>
      <c r="I34" s="223" t="n">
        <f aca="false">I32*I33</f>
        <v>4528.33745</v>
      </c>
      <c r="J34" s="223" t="n">
        <f aca="false">J32*J33</f>
        <v>5434.00494</v>
      </c>
      <c r="K34" s="223" t="n">
        <f aca="false">K32*K33</f>
        <v>6339.67243</v>
      </c>
      <c r="L34" s="223" t="n">
        <f aca="false">L32*L33</f>
        <v>8389.34096</v>
      </c>
      <c r="M34" s="223" t="n">
        <f aca="false">M32*M33</f>
        <v>7340.67334</v>
      </c>
      <c r="N34" s="223" t="n">
        <f aca="false">N32*N33</f>
        <v>5958.33875</v>
      </c>
      <c r="O34" s="223" t="n">
        <f aca="false">O32*O33</f>
        <v>6809.1895235</v>
      </c>
      <c r="P34" s="223" t="n">
        <f aca="false">P32*P33</f>
        <v>9315.0284682</v>
      </c>
      <c r="Q34" s="223" t="n">
        <f aca="false">Q32*Q33</f>
        <v>13564.0389976</v>
      </c>
      <c r="R34" s="224" t="n">
        <f aca="false">SUM(B34:E34)</f>
        <v>15444.01404</v>
      </c>
      <c r="S34" s="224" t="n">
        <f aca="false">SUM(F34:Q34)</f>
        <v>80548.6365593</v>
      </c>
    </row>
    <row r="35" customFormat="false" ht="14.25" hidden="false" customHeight="true" outlineLevel="0" collapsed="false">
      <c r="A35" s="183" t="s">
        <v>2751</v>
      </c>
      <c r="B35" s="225" t="n">
        <v>0</v>
      </c>
      <c r="C35" s="225" t="n">
        <v>0</v>
      </c>
      <c r="D35" s="225" t="n">
        <v>0</v>
      </c>
      <c r="E35" s="225" t="n">
        <v>0</v>
      </c>
      <c r="F35" s="225" t="n">
        <v>0</v>
      </c>
      <c r="G35" s="225" t="n">
        <v>0</v>
      </c>
      <c r="H35" s="225" t="n">
        <v>0</v>
      </c>
      <c r="I35" s="225" t="n">
        <v>0</v>
      </c>
      <c r="J35" s="225" t="n">
        <v>0</v>
      </c>
      <c r="K35" s="225" t="n">
        <v>0</v>
      </c>
      <c r="L35" s="225" t="n">
        <v>0</v>
      </c>
      <c r="M35" s="225" t="n">
        <v>0</v>
      </c>
      <c r="N35" s="225" t="n">
        <v>0</v>
      </c>
      <c r="O35" s="225" t="n">
        <v>0</v>
      </c>
      <c r="P35" s="225" t="n">
        <v>0</v>
      </c>
      <c r="Q35" s="225" t="n">
        <v>0</v>
      </c>
      <c r="R35" s="226" t="n">
        <f aca="false">IFERROR(R36/R32/$M$10,0)</f>
        <v>0</v>
      </c>
      <c r="S35" s="226" t="n">
        <f aca="false">IFERROR(S36/S32/$M$10,0)</f>
        <v>0</v>
      </c>
      <c r="T35" s="184" t="s">
        <v>2749</v>
      </c>
    </row>
    <row r="36" customFormat="false" ht="14.25" hidden="false" customHeight="true" outlineLevel="0" collapsed="false">
      <c r="A36" s="183" t="s">
        <v>2752</v>
      </c>
      <c r="B36" s="223" t="n">
        <f aca="false">B32*B35*$M$10</f>
        <v>0</v>
      </c>
      <c r="C36" s="223" t="n">
        <f aca="false">C32*C35*$M$10</f>
        <v>0</v>
      </c>
      <c r="D36" s="223" t="n">
        <f aca="false">D32*D35*$M$10</f>
        <v>0</v>
      </c>
      <c r="E36" s="223" t="n">
        <f aca="false">E32*E35*$M$10</f>
        <v>0</v>
      </c>
      <c r="F36" s="223" t="n">
        <f aca="false">F32*F35*$M$10</f>
        <v>0</v>
      </c>
      <c r="G36" s="223" t="n">
        <f aca="false">G32*G35*$M$10</f>
        <v>0</v>
      </c>
      <c r="H36" s="223" t="n">
        <f aca="false">H32*H35*$M$10</f>
        <v>0</v>
      </c>
      <c r="I36" s="223" t="n">
        <f aca="false">I32*I35*$M$10</f>
        <v>0</v>
      </c>
      <c r="J36" s="223" t="n">
        <f aca="false">J32*J35*$M$10</f>
        <v>0</v>
      </c>
      <c r="K36" s="223" t="n">
        <f aca="false">K32*K35*$M$10</f>
        <v>0</v>
      </c>
      <c r="L36" s="223" t="n">
        <f aca="false">L32*L35*$M$10</f>
        <v>0</v>
      </c>
      <c r="M36" s="223" t="n">
        <f aca="false">M32*M35*$M$10</f>
        <v>0</v>
      </c>
      <c r="N36" s="223" t="n">
        <f aca="false">N32*N35*$M$10</f>
        <v>0</v>
      </c>
      <c r="O36" s="223" t="n">
        <f aca="false">O32*O35*$M$10</f>
        <v>0</v>
      </c>
      <c r="P36" s="223" t="n">
        <f aca="false">P32*P35*$M$10</f>
        <v>0</v>
      </c>
      <c r="Q36" s="223" t="n">
        <f aca="false">Q32*Q35*$M$10</f>
        <v>0</v>
      </c>
      <c r="R36" s="224" t="n">
        <f aca="false">SUM(B36:E36)</f>
        <v>0</v>
      </c>
      <c r="S36" s="224" t="n">
        <f aca="false">SUM(F36:Q36)</f>
        <v>0</v>
      </c>
    </row>
    <row r="37" customFormat="false" ht="14.25" hidden="false" customHeight="true" outlineLevel="0" collapsed="false">
      <c r="A37" s="183" t="s">
        <v>2667</v>
      </c>
      <c r="B37" s="223" t="n">
        <f aca="false">(B32+B34+B36)*$B$6</f>
        <v>3753.7534125</v>
      </c>
      <c r="C37" s="223" t="n">
        <f aca="false">(C32+C34+C36)*$B$6</f>
        <v>3753.7534125</v>
      </c>
      <c r="D37" s="223" t="n">
        <f aca="false">(D32+D34+D36)*$B$6</f>
        <v>6063.205512</v>
      </c>
      <c r="E37" s="223" t="n">
        <f aca="false">(E32+E34+E36)*$B$6</f>
        <v>6177.605616</v>
      </c>
      <c r="F37" s="223" t="n">
        <f aca="false">(F32+F34+F36)*$B$6</f>
        <v>6006.00546</v>
      </c>
      <c r="G37" s="223" t="n">
        <f aca="false">(G32+G34+G36)*$B$6</f>
        <v>7132.13148375</v>
      </c>
      <c r="H37" s="223" t="n">
        <f aca="false">(H32+H34+H36)*$B$6</f>
        <v>7132.13148375</v>
      </c>
      <c r="I37" s="223" t="n">
        <f aca="false">(I32+I34+I36)*$B$6</f>
        <v>7132.13148375</v>
      </c>
      <c r="J37" s="223" t="n">
        <f aca="false">(J32+J34+J36)*$B$6</f>
        <v>7200.0565455</v>
      </c>
      <c r="K37" s="223" t="n">
        <f aca="false">(K32+K34+K36)*$B$6</f>
        <v>7267.98160725</v>
      </c>
      <c r="L37" s="223" t="n">
        <f aca="false">(L32+L34+L36)*$B$6</f>
        <v>8494.207722</v>
      </c>
      <c r="M37" s="223" t="n">
        <f aca="false">(M32+M34+M36)*$B$6</f>
        <v>8415.5576505</v>
      </c>
      <c r="N37" s="223" t="n">
        <f aca="false">(N32+N34+N36)*$B$6</f>
        <v>9384.38353125</v>
      </c>
      <c r="O37" s="223" t="n">
        <f aca="false">(O32+O34+O36)*$B$6</f>
        <v>10724.4734995125</v>
      </c>
      <c r="P37" s="223" t="n">
        <f aca="false">(P32+P34+P36)*$B$6</f>
        <v>12342.412720365</v>
      </c>
      <c r="Q37" s="223" t="n">
        <f aca="false">(Q32+Q34+Q36)*$B$6</f>
        <v>13733.58948507</v>
      </c>
      <c r="R37" s="224" t="n">
        <f aca="false">SUM(B37:E37)</f>
        <v>19748.317953</v>
      </c>
      <c r="S37" s="224" t="n">
        <f aca="false">SUM(F37:Q37)</f>
        <v>104965.062672697</v>
      </c>
    </row>
    <row r="38" customFormat="false" ht="14.25" hidden="false" customHeight="true" outlineLevel="0" collapsed="false">
      <c r="A38" s="183" t="s">
        <v>2289</v>
      </c>
      <c r="B38" s="223" t="n">
        <f aca="false">B32*$B$7</f>
        <v>3575.00325</v>
      </c>
      <c r="C38" s="223" t="n">
        <f aca="false">C32*$B$7</f>
        <v>3575.00325</v>
      </c>
      <c r="D38" s="223" t="n">
        <f aca="false">D32*$B$7</f>
        <v>5720.0052</v>
      </c>
      <c r="E38" s="223" t="n">
        <f aca="false">E32*$B$7</f>
        <v>5720.0052</v>
      </c>
      <c r="F38" s="223" t="n">
        <f aca="false">F32*$B$7</f>
        <v>5720.0052</v>
      </c>
      <c r="G38" s="223" t="n">
        <f aca="false">G32*$B$7</f>
        <v>6792.506175</v>
      </c>
      <c r="H38" s="223" t="n">
        <f aca="false">H32*$B$7</f>
        <v>6792.506175</v>
      </c>
      <c r="I38" s="223" t="n">
        <f aca="false">I32*$B$7</f>
        <v>6792.506175</v>
      </c>
      <c r="J38" s="223" t="n">
        <f aca="false">J32*$B$7</f>
        <v>6792.506175</v>
      </c>
      <c r="K38" s="223" t="n">
        <f aca="false">K32*$B$7</f>
        <v>6792.506175</v>
      </c>
      <c r="L38" s="223" t="n">
        <f aca="false">L32*$B$7</f>
        <v>7865.00715</v>
      </c>
      <c r="M38" s="223" t="n">
        <f aca="false">M32*$B$7</f>
        <v>7865.00715</v>
      </c>
      <c r="N38" s="223" t="n">
        <f aca="false">N32*$B$7</f>
        <v>8937.508125</v>
      </c>
      <c r="O38" s="223" t="n">
        <f aca="false">O32*$B$7</f>
        <v>10213.78428525</v>
      </c>
      <c r="P38" s="223" t="n">
        <f aca="false">P32*$B$7</f>
        <v>11643.78558525</v>
      </c>
      <c r="Q38" s="223" t="n">
        <f aca="false">Q32*$B$7</f>
        <v>12716.28656025</v>
      </c>
      <c r="R38" s="224" t="n">
        <f aca="false">SUM(B38:E38)</f>
        <v>18590.0169</v>
      </c>
      <c r="S38" s="224" t="n">
        <f aca="false">SUM(F38:Q38)</f>
        <v>98923.91493075</v>
      </c>
    </row>
    <row r="39" customFormat="false" ht="14.25" hidden="false" customHeight="true" outlineLevel="0" collapsed="false">
      <c r="A39" s="183" t="s">
        <v>2753</v>
      </c>
      <c r="B39" s="221" t="n">
        <f aca="false">B30</f>
        <v>3</v>
      </c>
      <c r="C39" s="221" t="n">
        <f aca="false">MAX(0,C30-B30)</f>
        <v>0</v>
      </c>
      <c r="D39" s="221" t="n">
        <f aca="false">MAX(0,D30-C30)</f>
        <v>6</v>
      </c>
      <c r="E39" s="221" t="n">
        <f aca="false">MAX(0,E30-D30)</f>
        <v>0</v>
      </c>
      <c r="F39" s="221" t="n">
        <f aca="false">MAX(0,F30-E30)</f>
        <v>0</v>
      </c>
      <c r="G39" s="221" t="n">
        <f aca="false">MAX(0,G30-F30)</f>
        <v>3</v>
      </c>
      <c r="H39" s="221" t="n">
        <f aca="false">MAX(0,H30-G30)</f>
        <v>0</v>
      </c>
      <c r="I39" s="221" t="n">
        <f aca="false">MAX(0,I30-H30)</f>
        <v>0</v>
      </c>
      <c r="J39" s="221" t="n">
        <f aca="false">MAX(0,J30-I30)</f>
        <v>0</v>
      </c>
      <c r="K39" s="221" t="n">
        <f aca="false">MAX(0,K30-J30)</f>
        <v>0</v>
      </c>
      <c r="L39" s="221" t="n">
        <f aca="false">MAX(0,L30-K30)</f>
        <v>3</v>
      </c>
      <c r="M39" s="221" t="n">
        <f aca="false">MAX(0,M30-L30)</f>
        <v>0</v>
      </c>
      <c r="N39" s="221" t="n">
        <f aca="false">MAX(0,N30-M30)</f>
        <v>3</v>
      </c>
      <c r="O39" s="221" t="n">
        <f aca="false">MAX(0,O30-N30)</f>
        <v>3</v>
      </c>
      <c r="P39" s="221" t="n">
        <f aca="false">MAX(0,P30-O30)</f>
        <v>4</v>
      </c>
      <c r="Q39" s="221" t="n">
        <f aca="false">MAX(0,Q30-P30)</f>
        <v>3</v>
      </c>
      <c r="R39" s="222" t="n">
        <f aca="false">SUM(B39:E39)</f>
        <v>9</v>
      </c>
      <c r="S39" s="222" t="n">
        <f aca="false">SUM(F39:Q39)</f>
        <v>19</v>
      </c>
      <c r="T39" s="184"/>
    </row>
    <row r="40" customFormat="false" ht="14.25" hidden="false" customHeight="true" outlineLevel="0" collapsed="false">
      <c r="A40" s="183" t="s">
        <v>2674</v>
      </c>
      <c r="B40" s="223" t="n">
        <f aca="false">B39*$M$7</f>
        <v>3000</v>
      </c>
      <c r="C40" s="223" t="n">
        <f aca="false">C39*$M$7</f>
        <v>0</v>
      </c>
      <c r="D40" s="223" t="n">
        <f aca="false">D39*$M$7</f>
        <v>6000</v>
      </c>
      <c r="E40" s="223" t="n">
        <f aca="false">E39*$M$7</f>
        <v>0</v>
      </c>
      <c r="F40" s="223" t="n">
        <f aca="false">F39*$M$7</f>
        <v>0</v>
      </c>
      <c r="G40" s="223" t="n">
        <f aca="false">G39*$M$7</f>
        <v>3000</v>
      </c>
      <c r="H40" s="223" t="n">
        <f aca="false">H39*$M$7</f>
        <v>0</v>
      </c>
      <c r="I40" s="223" t="n">
        <f aca="false">I39*$M$7</f>
        <v>0</v>
      </c>
      <c r="J40" s="223" t="n">
        <f aca="false">J39*$M$7</f>
        <v>0</v>
      </c>
      <c r="K40" s="223" t="n">
        <f aca="false">K39*$M$7</f>
        <v>0</v>
      </c>
      <c r="L40" s="223" t="n">
        <f aca="false">L39*$M$7</f>
        <v>3000</v>
      </c>
      <c r="M40" s="223" t="n">
        <f aca="false">M39*$M$7</f>
        <v>0</v>
      </c>
      <c r="N40" s="223" t="n">
        <f aca="false">N39*$M$7</f>
        <v>3000</v>
      </c>
      <c r="O40" s="223" t="n">
        <f aca="false">O39*$M$7</f>
        <v>3000</v>
      </c>
      <c r="P40" s="223" t="n">
        <f aca="false">P39*$M$7</f>
        <v>4000</v>
      </c>
      <c r="Q40" s="223" t="n">
        <f aca="false">Q39*$M$7</f>
        <v>3000</v>
      </c>
      <c r="R40" s="224" t="n">
        <f aca="false">SUM(B40:E40)</f>
        <v>9000</v>
      </c>
      <c r="S40" s="224" t="n">
        <f aca="false">SUM(F40:Q40)</f>
        <v>19000</v>
      </c>
    </row>
    <row r="41" customFormat="false" ht="14.25" hidden="false" customHeight="true" outlineLevel="0" collapsed="false">
      <c r="A41" s="227" t="s">
        <v>2754</v>
      </c>
      <c r="B41" s="228" t="n">
        <f aca="false">B32+B34+B36+B37+B38+B40</f>
        <v>60378.8021625</v>
      </c>
      <c r="C41" s="228" t="n">
        <f aca="false">C32+C34+C36+C37+C38+C40</f>
        <v>57378.8021625</v>
      </c>
      <c r="D41" s="228" t="n">
        <f aca="false">D32+D34+D36+D37+D38+D40</f>
        <v>98625.950872</v>
      </c>
      <c r="E41" s="228" t="n">
        <f aca="false">E32+E34+E36+E37+E38+E40</f>
        <v>94265.685696</v>
      </c>
      <c r="F41" s="228" t="n">
        <f aca="false">F32+F34+F36+F37+F38+F40</f>
        <v>91806.08346</v>
      </c>
      <c r="G41" s="228" t="n">
        <f aca="false">G32+G34+G36+G37+G38+G40</f>
        <v>112019.72410875</v>
      </c>
      <c r="H41" s="228" t="n">
        <f aca="false">H32+H34+H36+H37+H38+H40</f>
        <v>109019.72410875</v>
      </c>
      <c r="I41" s="228" t="n">
        <f aca="false">I32+I34+I36+I37+I38+I40</f>
        <v>109019.72410875</v>
      </c>
      <c r="J41" s="228" t="n">
        <f aca="false">J32+J34+J36+J37+J38+J40</f>
        <v>109993.3166605</v>
      </c>
      <c r="K41" s="228" t="n">
        <f aca="false">K32+K34+K36+K37+K38+K40</f>
        <v>110966.90921225</v>
      </c>
      <c r="L41" s="228" t="n">
        <f aca="false">L32+L34+L36+L37+L38+L40</f>
        <v>132615.317832</v>
      </c>
      <c r="M41" s="228" t="n">
        <f aca="false">M32+M34+M36+M37+M38+M40</f>
        <v>128488.0001405</v>
      </c>
      <c r="N41" s="228" t="n">
        <f aca="false">N32+N34+N36+N37+N38+N40</f>
        <v>146447.00540625</v>
      </c>
      <c r="O41" s="228" t="n">
        <f aca="false">O32+O34+O36+O37+O38+O40</f>
        <v>166931.237778263</v>
      </c>
      <c r="P41" s="228" t="n">
        <f aca="false">P32+P34+P36+P37+P38+P40</f>
        <v>192551.701243815</v>
      </c>
      <c r="Q41" s="228" t="n">
        <f aca="false">Q32+Q34+Q36+Q37+Q38+Q40</f>
        <v>212564.40251292</v>
      </c>
      <c r="R41" s="229" t="n">
        <f aca="false">SUM(B41:E41)</f>
        <v>310649.240893</v>
      </c>
      <c r="S41" s="229" t="n">
        <f aca="false">SUM(F41:Q41)</f>
        <v>1622423.14657275</v>
      </c>
    </row>
    <row r="42" customFormat="false" ht="14.25" hidden="false" customHeight="true" outlineLevel="0" collapsed="false">
      <c r="B42" s="230"/>
      <c r="C42" s="230"/>
      <c r="D42" s="230"/>
      <c r="E42" s="230"/>
      <c r="F42" s="230"/>
      <c r="G42" s="230"/>
      <c r="H42" s="230"/>
      <c r="I42" s="230"/>
      <c r="J42" s="230"/>
      <c r="K42" s="230"/>
      <c r="L42" s="230"/>
      <c r="M42" s="230"/>
      <c r="N42" s="230"/>
      <c r="O42" s="230"/>
      <c r="P42" s="230"/>
      <c r="Q42" s="230"/>
      <c r="R42" s="230"/>
      <c r="S42" s="230"/>
    </row>
    <row r="43" customFormat="false" ht="14.25" hidden="false" customHeight="true" outlineLevel="0" collapsed="false">
      <c r="A43" s="231" t="s">
        <v>2755</v>
      </c>
      <c r="B43" s="199" t="str">
        <f aca="false">IF(B26&gt;MAX($B$15:$O$15),"OVER","OK")</f>
        <v>OK</v>
      </c>
      <c r="C43" s="199" t="str">
        <f aca="false">IF(C26&gt;MAX($B$15:$O$15),"OVER","OK")</f>
        <v>OK</v>
      </c>
      <c r="D43" s="199" t="str">
        <f aca="false">IF(D26&gt;MAX($B$15:$O$15),"OVER","OK")</f>
        <v>OK</v>
      </c>
      <c r="E43" s="199" t="str">
        <f aca="false">IF(E26&gt;MAX($B$15:$O$15),"OVER","OK")</f>
        <v>OK</v>
      </c>
      <c r="F43" s="199" t="str">
        <f aca="false">IF(F26&gt;MAX($B$15:$O$15),"OVER","OK")</f>
        <v>OK</v>
      </c>
      <c r="G43" s="199" t="str">
        <f aca="false">IF(G26&gt;MAX($B$15:$O$15),"OVER","OK")</f>
        <v>OK</v>
      </c>
      <c r="H43" s="199" t="str">
        <f aca="false">IF(H26&gt;MAX($B$15:$O$15),"OVER","OK")</f>
        <v>OK</v>
      </c>
      <c r="I43" s="199" t="str">
        <f aca="false">IF(I26&gt;MAX($B$15:$O$15),"OVER","OK")</f>
        <v>OK</v>
      </c>
      <c r="J43" s="199" t="str">
        <f aca="false">IF(J26&gt;MAX($B$15:$O$15),"OVER","OK")</f>
        <v>OK</v>
      </c>
      <c r="K43" s="199" t="str">
        <f aca="false">IF(K26&gt;MAX($B$15:$O$15),"OVER","OK")</f>
        <v>OK</v>
      </c>
      <c r="L43" s="199" t="str">
        <f aca="false">IF(L26&gt;MAX($B$15:$O$15),"OVER","OK")</f>
        <v>OK</v>
      </c>
      <c r="M43" s="199" t="str">
        <f aca="false">IF(M26&gt;MAX($B$15:$O$15),"OVER","OK")</f>
        <v>OK</v>
      </c>
      <c r="N43" s="199" t="str">
        <f aca="false">IF(N26&gt;MAX($B$15:$O$15),"OVER","OK")</f>
        <v>OK</v>
      </c>
      <c r="O43" s="199" t="str">
        <f aca="false">IF(O26&gt;MAX($B$15:$O$15),"OVER","OK")</f>
        <v>OK</v>
      </c>
      <c r="P43" s="199" t="str">
        <f aca="false">IF(P26&gt;MAX($B$15:$O$15),"OVER","OK")</f>
        <v>OK</v>
      </c>
      <c r="Q43" s="199" t="str">
        <f aca="false">IF(Q26&gt;MAX($B$15:$O$15),"OVER","OK")</f>
        <v>OK</v>
      </c>
      <c r="R43" s="230"/>
      <c r="S43" s="230"/>
    </row>
    <row r="44" customFormat="false" ht="14.25" hidden="false" customHeight="true" outlineLevel="0" collapsed="false"/>
    <row r="45" customFormat="false" ht="14.25" hidden="false" customHeight="true" outlineLevel="0" collapsed="false">
      <c r="A45" s="212" t="s">
        <v>2756</v>
      </c>
      <c r="B45" s="213" t="n">
        <f aca="false">B$24</f>
        <v>46295</v>
      </c>
      <c r="C45" s="213" t="n">
        <f aca="false">C$24</f>
        <v>46326</v>
      </c>
      <c r="D45" s="213" t="n">
        <f aca="false">D$24</f>
        <v>46356</v>
      </c>
      <c r="E45" s="213" t="n">
        <f aca="false">E$24</f>
        <v>46387</v>
      </c>
      <c r="F45" s="213" t="n">
        <f aca="false">F$24</f>
        <v>46418</v>
      </c>
      <c r="G45" s="213" t="n">
        <f aca="false">G$24</f>
        <v>46446</v>
      </c>
      <c r="H45" s="213" t="n">
        <f aca="false">H$24</f>
        <v>46477</v>
      </c>
      <c r="I45" s="213" t="n">
        <f aca="false">I$24</f>
        <v>46507</v>
      </c>
      <c r="J45" s="213" t="n">
        <f aca="false">J$24</f>
        <v>46538</v>
      </c>
      <c r="K45" s="213" t="n">
        <f aca="false">K$24</f>
        <v>46568</v>
      </c>
      <c r="L45" s="213" t="n">
        <f aca="false">L$24</f>
        <v>46599</v>
      </c>
      <c r="M45" s="213" t="n">
        <f aca="false">M$24</f>
        <v>46630</v>
      </c>
      <c r="N45" s="213" t="n">
        <f aca="false">N$24</f>
        <v>46660</v>
      </c>
      <c r="O45" s="213" t="n">
        <f aca="false">O$24</f>
        <v>46691</v>
      </c>
      <c r="P45" s="213" t="n">
        <f aca="false">P$24</f>
        <v>46721</v>
      </c>
      <c r="Q45" s="213" t="n">
        <f aca="false">Q$24</f>
        <v>46752</v>
      </c>
      <c r="R45" s="214" t="str">
        <f aca="false">R24</f>
        <v>Sep–Dec 2026</v>
      </c>
      <c r="S45" s="214" t="str">
        <f aca="false">S24</f>
        <v>FY2027</v>
      </c>
    </row>
    <row r="46" customFormat="false" ht="14.25" hidden="false" customHeight="true" outlineLevel="0" collapsed="false">
      <c r="A46" s="183" t="s">
        <v>2757</v>
      </c>
      <c r="B46" s="215" t="n">
        <f aca="false">DeploySum!B25</f>
        <v>32</v>
      </c>
      <c r="C46" s="215" t="n">
        <f aca="false">DeploySum!C25</f>
        <v>0</v>
      </c>
      <c r="D46" s="215" t="n">
        <f aca="false">DeploySum!D25</f>
        <v>60</v>
      </c>
      <c r="E46" s="215" t="n">
        <f aca="false">DeploySum!E25</f>
        <v>24</v>
      </c>
      <c r="F46" s="215" t="n">
        <f aca="false">DeploySum!F25</f>
        <v>0</v>
      </c>
      <c r="G46" s="215" t="n">
        <f aca="false">DeploySum!G25</f>
        <v>86</v>
      </c>
      <c r="H46" s="215" t="n">
        <f aca="false">DeploySum!H25</f>
        <v>61</v>
      </c>
      <c r="I46" s="215" t="n">
        <f aca="false">DeploySum!I25</f>
        <v>98</v>
      </c>
      <c r="J46" s="215" t="n">
        <f aca="false">DeploySum!J25</f>
        <v>73</v>
      </c>
      <c r="K46" s="215" t="n">
        <f aca="false">DeploySum!K25</f>
        <v>85</v>
      </c>
      <c r="L46" s="215" t="n">
        <f aca="false">DeploySum!L25</f>
        <v>122</v>
      </c>
      <c r="M46" s="215" t="n">
        <f aca="false">DeploySum!M25</f>
        <v>122</v>
      </c>
      <c r="N46" s="215" t="n">
        <f aca="false">DeploySum!N25</f>
        <v>159</v>
      </c>
      <c r="O46" s="215" t="n">
        <f aca="false">DeploySum!O25</f>
        <v>146</v>
      </c>
      <c r="P46" s="215" t="n">
        <f aca="false">DeploySum!P25</f>
        <v>183</v>
      </c>
      <c r="Q46" s="215" t="n">
        <f aca="false">DeploySum!Q25</f>
        <v>220</v>
      </c>
      <c r="R46" s="216" t="n">
        <f aca="false">SUM(B46:E46)</f>
        <v>116</v>
      </c>
      <c r="S46" s="216" t="n">
        <f aca="false">SUM(F46:Q46)</f>
        <v>1355</v>
      </c>
    </row>
    <row r="47" customFormat="false" ht="14.25" hidden="false" customHeight="true" outlineLevel="0" collapsed="false">
      <c r="A47" s="183" t="s">
        <v>2758</v>
      </c>
      <c r="B47" s="217" t="n">
        <f aca="false">DeploySum!B28</f>
        <v>7.46666666666667</v>
      </c>
      <c r="C47" s="217" t="n">
        <f aca="false">DeploySum!C28</f>
        <v>0</v>
      </c>
      <c r="D47" s="217" t="n">
        <f aca="false">DeploySum!D28</f>
        <v>14</v>
      </c>
      <c r="E47" s="217" t="n">
        <f aca="false">DeploySum!E28</f>
        <v>5.41935483870968</v>
      </c>
      <c r="F47" s="217" t="n">
        <f aca="false">DeploySum!F28</f>
        <v>0</v>
      </c>
      <c r="G47" s="217" t="n">
        <f aca="false">DeploySum!G28</f>
        <v>21.5</v>
      </c>
      <c r="H47" s="217" t="n">
        <f aca="false">DeploySum!H28</f>
        <v>13.7741935483871</v>
      </c>
      <c r="I47" s="217" t="n">
        <f aca="false">DeploySum!I28</f>
        <v>22.8666666666667</v>
      </c>
      <c r="J47" s="217" t="n">
        <f aca="false">DeploySum!J28</f>
        <v>16.4838709677419</v>
      </c>
      <c r="K47" s="217" t="n">
        <f aca="false">DeploySum!K28</f>
        <v>19.8333333333333</v>
      </c>
      <c r="L47" s="217" t="n">
        <f aca="false">DeploySum!L28</f>
        <v>27.5483870967742</v>
      </c>
      <c r="M47" s="217" t="n">
        <f aca="false">DeploySum!M28</f>
        <v>27.5483870967742</v>
      </c>
      <c r="N47" s="217" t="n">
        <f aca="false">DeploySum!N28</f>
        <v>37.1</v>
      </c>
      <c r="O47" s="217" t="n">
        <f aca="false">DeploySum!O28</f>
        <v>32.9677419354839</v>
      </c>
      <c r="P47" s="217" t="n">
        <f aca="false">DeploySum!P28</f>
        <v>42.7</v>
      </c>
      <c r="Q47" s="217" t="n">
        <f aca="false">DeploySum!Q28</f>
        <v>49.6774193548387</v>
      </c>
      <c r="R47" s="218" t="n">
        <f aca="false">AVERAGE(B47:E47)</f>
        <v>6.72150537634409</v>
      </c>
      <c r="S47" s="218" t="n">
        <f aca="false">AVERAGE(F47:Q47)</f>
        <v>26</v>
      </c>
      <c r="T47" s="184" t="s">
        <v>2742</v>
      </c>
    </row>
    <row r="48" customFormat="false" ht="14.25" hidden="false" customHeight="true" outlineLevel="0" collapsed="false">
      <c r="A48" s="183" t="s">
        <v>2759</v>
      </c>
      <c r="B48" s="219" t="n">
        <f aca="false">IF(MAX($C$8,B47)&gt;MAX($B$20:$O$20),MAX($B$20:$O$20),INDEX($B$20:$O$20,IFERROR(MATCH(MAX($C$8,B47),$B$20:$O$20,1),0)+ISNA(MATCH(MAX($C$8,B47),$B$20:$O$20,0))))</f>
        <v>10</v>
      </c>
      <c r="C48" s="219" t="n">
        <f aca="false">IF(MAX($C$8,C47)&gt;MAX($B$20:$O$20),MAX($B$20:$O$20),INDEX($B$20:$O$20,IFERROR(MATCH(MAX($C$8,C47),$B$20:$O$20,1),0)+ISNA(MATCH(MAX($C$8,C47),$B$20:$O$20,0))))</f>
        <v>10</v>
      </c>
      <c r="D48" s="219" t="n">
        <f aca="false">IF(MAX($C$8,D47)&gt;MAX($B$20:$O$20),MAX($B$20:$O$20),INDEX($B$20:$O$20,IFERROR(MATCH(MAX($C$8,D47),$B$20:$O$20,1),0)+ISNA(MATCH(MAX($C$8,D47),$B$20:$O$20,0))))</f>
        <v>20</v>
      </c>
      <c r="E48" s="219" t="n">
        <f aca="false">IF(MAX($C$8,E47)&gt;MAX($B$20:$O$20),MAX($B$20:$O$20),INDEX($B$20:$O$20,IFERROR(MATCH(MAX($C$8,E47),$B$20:$O$20,1),0)+ISNA(MATCH(MAX($C$8,E47),$B$20:$O$20,0))))</f>
        <v>10</v>
      </c>
      <c r="F48" s="219" t="n">
        <f aca="false">IF(MAX($C$8,F47)&gt;MAX($B$20:$O$20),MAX($B$20:$O$20),INDEX($B$20:$O$20,IFERROR(MATCH(MAX($C$8,F47),$B$20:$O$20,1),0)+ISNA(MATCH(MAX($C$8,F47),$B$20:$O$20,0))))</f>
        <v>10</v>
      </c>
      <c r="G48" s="219" t="n">
        <f aca="false">IF(MAX($C$8,G47)&gt;MAX($B$20:$O$20),MAX($B$20:$O$20),INDEX($B$20:$O$20,IFERROR(MATCH(MAX($C$8,G47),$B$20:$O$20,1),0)+ISNA(MATCH(MAX($C$8,G47),$B$20:$O$20,0))))</f>
        <v>30</v>
      </c>
      <c r="H48" s="219" t="n">
        <f aca="false">IF(MAX($C$8,H47)&gt;MAX($B$20:$O$20),MAX($B$20:$O$20),INDEX($B$20:$O$20,IFERROR(MATCH(MAX($C$8,H47),$B$20:$O$20,1),0)+ISNA(MATCH(MAX($C$8,H47),$B$20:$O$20,0))))</f>
        <v>20</v>
      </c>
      <c r="I48" s="219" t="n">
        <f aca="false">IF(MAX($C$8,I47)&gt;MAX($B$20:$O$20),MAX($B$20:$O$20),INDEX($B$20:$O$20,IFERROR(MATCH(MAX($C$8,I47),$B$20:$O$20,1),0)+ISNA(MATCH(MAX($C$8,I47),$B$20:$O$20,0))))</f>
        <v>30</v>
      </c>
      <c r="J48" s="219" t="n">
        <f aca="false">IF(MAX($C$8,J47)&gt;MAX($B$20:$O$20),MAX($B$20:$O$20),INDEX($B$20:$O$20,IFERROR(MATCH(MAX($C$8,J47),$B$20:$O$20,1),0)+ISNA(MATCH(MAX($C$8,J47),$B$20:$O$20,0))))</f>
        <v>20</v>
      </c>
      <c r="K48" s="219" t="n">
        <f aca="false">IF(MAX($C$8,K47)&gt;MAX($B$20:$O$20),MAX($B$20:$O$20),INDEX($B$20:$O$20,IFERROR(MATCH(MAX($C$8,K47),$B$20:$O$20,1),0)+ISNA(MATCH(MAX($C$8,K47),$B$20:$O$20,0))))</f>
        <v>20</v>
      </c>
      <c r="L48" s="219" t="n">
        <f aca="false">IF(MAX($C$8,L47)&gt;MAX($B$20:$O$20),MAX($B$20:$O$20),INDEX($B$20:$O$20,IFERROR(MATCH(MAX($C$8,L47),$B$20:$O$20,1),0)+ISNA(MATCH(MAX($C$8,L47),$B$20:$O$20,0))))</f>
        <v>30</v>
      </c>
      <c r="M48" s="219" t="n">
        <f aca="false">IF(MAX($C$8,M47)&gt;MAX($B$20:$O$20),MAX($B$20:$O$20),INDEX($B$20:$O$20,IFERROR(MATCH(MAX($C$8,M47),$B$20:$O$20,1),0)+ISNA(MATCH(MAX($C$8,M47),$B$20:$O$20,0))))</f>
        <v>30</v>
      </c>
      <c r="N48" s="219" t="n">
        <f aca="false">IF(MAX($C$8,N47)&gt;MAX($B$20:$O$20),MAX($B$20:$O$20),INDEX($B$20:$O$20,IFERROR(MATCH(MAX($C$8,N47),$B$20:$O$20,1),0)+ISNA(MATCH(MAX($C$8,N47),$B$20:$O$20,0))))</f>
        <v>40</v>
      </c>
      <c r="O48" s="219" t="n">
        <f aca="false">IF(MAX($C$8,O47)&gt;MAX($B$20:$O$20),MAX($B$20:$O$20),INDEX($B$20:$O$20,IFERROR(MATCH(MAX($C$8,O47),$B$20:$O$20,1),0)+ISNA(MATCH(MAX($C$8,O47),$B$20:$O$20,0))))</f>
        <v>40</v>
      </c>
      <c r="P48" s="219" t="n">
        <f aca="false">IF(MAX($C$8,P47)&gt;MAX($B$20:$O$20),MAX($B$20:$O$20),INDEX($B$20:$O$20,IFERROR(MATCH(MAX($C$8,P47),$B$20:$O$20,1),0)+ISNA(MATCH(MAX($C$8,P47),$B$20:$O$20,0))))</f>
        <v>50</v>
      </c>
      <c r="Q48" s="219" t="n">
        <f aca="false">IF(MAX($C$8,Q47)&gt;MAX($B$20:$O$20),MAX($B$20:$O$20),INDEX($B$20:$O$20,IFERROR(MATCH(MAX($C$8,Q47),$B$20:$O$20,1),0)+ISNA(MATCH(MAX($C$8,Q47),$B$20:$O$20,0))))</f>
        <v>50</v>
      </c>
      <c r="R48" s="220"/>
      <c r="S48" s="220"/>
      <c r="T48" s="184"/>
    </row>
    <row r="49" customFormat="false" ht="14.25" hidden="false" customHeight="true" outlineLevel="0" collapsed="false">
      <c r="A49" s="183" t="s">
        <v>2760</v>
      </c>
      <c r="B49" s="221" t="n">
        <f aca="false" t="array" ref="B49:B49">INDEX($B$22:$O$22,MATCH(B48,$B$20:$O$20,0))</f>
        <v>3</v>
      </c>
      <c r="C49" s="221" t="n">
        <f aca="false">MAX(B49,INDEX($B$22:$O$22,MATCH(C48,$B$20:$O$20,0)))</f>
        <v>3</v>
      </c>
      <c r="D49" s="221" t="n">
        <f aca="false">MAX(C49,INDEX($B$22:$O$22,MATCH(D48,$B$20:$O$20,0)))</f>
        <v>6</v>
      </c>
      <c r="E49" s="221" t="n">
        <f aca="false">MAX(D49,INDEX($B$22:$O$22,MATCH(E48,$B$20:$O$20,0)))</f>
        <v>6</v>
      </c>
      <c r="F49" s="221" t="n">
        <f aca="false">MAX(E49,INDEX($B$22:$O$22,MATCH(F48,$B$20:$O$20,0)))</f>
        <v>6</v>
      </c>
      <c r="G49" s="221" t="n">
        <f aca="false">MAX(F49,INDEX($B$22:$O$22,MATCH(G48,$B$20:$O$20,0)))</f>
        <v>9</v>
      </c>
      <c r="H49" s="221" t="n">
        <f aca="false">MAX(G49,INDEX($B$22:$O$22,MATCH(H48,$B$20:$O$20,0)))</f>
        <v>9</v>
      </c>
      <c r="I49" s="221" t="n">
        <f aca="false">MAX(H49,INDEX($B$22:$O$22,MATCH(I48,$B$20:$O$20,0)))</f>
        <v>9</v>
      </c>
      <c r="J49" s="221" t="n">
        <f aca="false">MAX(I49,INDEX($B$22:$O$22,MATCH(J48,$B$20:$O$20,0)))</f>
        <v>9</v>
      </c>
      <c r="K49" s="221" t="n">
        <f aca="false">MAX(J49,INDEX($B$22:$O$22,MATCH(K48,$B$20:$O$20,0)))</f>
        <v>9</v>
      </c>
      <c r="L49" s="221" t="n">
        <f aca="false">MAX(K49,INDEX($B$22:$O$22,MATCH(L48,$B$20:$O$20,0)))</f>
        <v>9</v>
      </c>
      <c r="M49" s="221" t="n">
        <f aca="false">MAX(L49,INDEX($B$22:$O$22,MATCH(M48,$B$20:$O$20,0)))</f>
        <v>9</v>
      </c>
      <c r="N49" s="221" t="n">
        <f aca="false">MAX(M49,INDEX($B$22:$O$22,MATCH(N48,$B$20:$O$20,0)))</f>
        <v>12</v>
      </c>
      <c r="O49" s="221" t="n">
        <f aca="false">MAX(N49,INDEX($B$22:$O$22,MATCH(O48,$B$20:$O$20,0)))</f>
        <v>12</v>
      </c>
      <c r="P49" s="221" t="n">
        <f aca="false">MAX(O49,INDEX($B$22:$O$22,MATCH(P48,$B$20:$O$20,0)))</f>
        <v>15</v>
      </c>
      <c r="Q49" s="221" t="n">
        <f aca="false">MAX(P49,INDEX($B$22:$O$22,MATCH(Q48,$B$20:$O$20,0)))</f>
        <v>15</v>
      </c>
      <c r="R49" s="222" t="n">
        <f aca="false">AVERAGE(B49:E49)</f>
        <v>4.5</v>
      </c>
      <c r="S49" s="222" t="n">
        <f aca="false">AVERAGE(F49:Q49)</f>
        <v>10.25</v>
      </c>
      <c r="T49" s="184"/>
    </row>
    <row r="50" customFormat="false" ht="14.25" hidden="false" customHeight="true" outlineLevel="0" collapsed="false">
      <c r="A50" s="183" t="s">
        <v>2724</v>
      </c>
      <c r="B50" s="221" t="n">
        <f aca="false">$C$9</f>
        <v>2</v>
      </c>
      <c r="C50" s="221" t="n">
        <f aca="false">$C$9</f>
        <v>2</v>
      </c>
      <c r="D50" s="221" t="n">
        <f aca="false">$C$9</f>
        <v>2</v>
      </c>
      <c r="E50" s="221" t="n">
        <f aca="false">$C$9</f>
        <v>2</v>
      </c>
      <c r="F50" s="221" t="n">
        <f aca="false">$C$9</f>
        <v>2</v>
      </c>
      <c r="G50" s="221" t="n">
        <f aca="false">$C$9</f>
        <v>2</v>
      </c>
      <c r="H50" s="221" t="n">
        <f aca="false">$C$9</f>
        <v>2</v>
      </c>
      <c r="I50" s="221" t="n">
        <f aca="false">$C$9</f>
        <v>2</v>
      </c>
      <c r="J50" s="221" t="n">
        <f aca="false">$C$9</f>
        <v>2</v>
      </c>
      <c r="K50" s="221" t="n">
        <f aca="false">$C$9</f>
        <v>2</v>
      </c>
      <c r="L50" s="221" t="n">
        <f aca="false">$C$9</f>
        <v>2</v>
      </c>
      <c r="M50" s="221" t="n">
        <f aca="false">$C$9</f>
        <v>2</v>
      </c>
      <c r="N50" s="221" t="n">
        <f aca="false">$C$9</f>
        <v>2</v>
      </c>
      <c r="O50" s="221" t="n">
        <f aca="false">$C$9</f>
        <v>2</v>
      </c>
      <c r="P50" s="221" t="n">
        <f aca="false">$C$9</f>
        <v>2</v>
      </c>
      <c r="Q50" s="221" t="n">
        <f aca="false">$C$9</f>
        <v>2</v>
      </c>
      <c r="R50" s="222" t="n">
        <f aca="false">AVERAGE(B50:E50)</f>
        <v>2</v>
      </c>
      <c r="S50" s="222" t="n">
        <f aca="false">AVERAGE(F50:Q50)</f>
        <v>2</v>
      </c>
      <c r="T50" s="184"/>
    </row>
    <row r="51" customFormat="false" ht="14.25" hidden="false" customHeight="true" outlineLevel="0" collapsed="false">
      <c r="A51" s="183" t="s">
        <v>2745</v>
      </c>
      <c r="B51" s="221" t="n">
        <f aca="false">MAX(0,B49-B50)</f>
        <v>1</v>
      </c>
      <c r="C51" s="221" t="n">
        <f aca="false">MAX(0,C49-C50)</f>
        <v>1</v>
      </c>
      <c r="D51" s="221" t="n">
        <f aca="false">MAX(0,D49-D50)</f>
        <v>4</v>
      </c>
      <c r="E51" s="221" t="n">
        <f aca="false">MAX(0,E49-E50)</f>
        <v>4</v>
      </c>
      <c r="F51" s="221" t="n">
        <f aca="false">MAX(0,F49-F50)</f>
        <v>4</v>
      </c>
      <c r="G51" s="221" t="n">
        <f aca="false">MAX(0,G49-G50)</f>
        <v>7</v>
      </c>
      <c r="H51" s="221" t="n">
        <f aca="false">MAX(0,H49-H50)</f>
        <v>7</v>
      </c>
      <c r="I51" s="221" t="n">
        <f aca="false">MAX(0,I49-I50)</f>
        <v>7</v>
      </c>
      <c r="J51" s="221" t="n">
        <f aca="false">MAX(0,J49-J50)</f>
        <v>7</v>
      </c>
      <c r="K51" s="221" t="n">
        <f aca="false">MAX(0,K49-K50)</f>
        <v>7</v>
      </c>
      <c r="L51" s="221" t="n">
        <f aca="false">MAX(0,L49-L50)</f>
        <v>7</v>
      </c>
      <c r="M51" s="221" t="n">
        <f aca="false">MAX(0,M49-M50)</f>
        <v>7</v>
      </c>
      <c r="N51" s="221" t="n">
        <f aca="false">MAX(0,N49-N50)</f>
        <v>10</v>
      </c>
      <c r="O51" s="221" t="n">
        <f aca="false">MAX(0,O49-O50)</f>
        <v>10</v>
      </c>
      <c r="P51" s="221" t="n">
        <f aca="false">MAX(0,P49-P50)</f>
        <v>13</v>
      </c>
      <c r="Q51" s="221" t="n">
        <f aca="false">MAX(0,Q49-Q50)</f>
        <v>13</v>
      </c>
      <c r="R51" s="222" t="n">
        <f aca="false">AVERAGE(B51:E51)</f>
        <v>2.5</v>
      </c>
      <c r="S51" s="222" t="n">
        <f aca="false">AVERAGE(F51:Q51)</f>
        <v>8.25</v>
      </c>
      <c r="T51" s="184"/>
    </row>
    <row r="52" customFormat="false" ht="14.25" hidden="false" customHeight="true" outlineLevel="0" collapsed="false">
      <c r="A52" s="183" t="s">
        <v>2761</v>
      </c>
      <c r="B52" s="221" t="n">
        <f aca="false">B50+B51</f>
        <v>3</v>
      </c>
      <c r="C52" s="221" t="n">
        <f aca="false">C50+C51</f>
        <v>3</v>
      </c>
      <c r="D52" s="221" t="n">
        <f aca="false">D50+D51</f>
        <v>6</v>
      </c>
      <c r="E52" s="221" t="n">
        <f aca="false">E50+E51</f>
        <v>6</v>
      </c>
      <c r="F52" s="221" t="n">
        <f aca="false">F50+F51</f>
        <v>6</v>
      </c>
      <c r="G52" s="221" t="n">
        <f aca="false">G50+G51</f>
        <v>9</v>
      </c>
      <c r="H52" s="221" t="n">
        <f aca="false">H50+H51</f>
        <v>9</v>
      </c>
      <c r="I52" s="221" t="n">
        <f aca="false">I50+I51</f>
        <v>9</v>
      </c>
      <c r="J52" s="221" t="n">
        <f aca="false">J50+J51</f>
        <v>9</v>
      </c>
      <c r="K52" s="221" t="n">
        <f aca="false">K50+K51</f>
        <v>9</v>
      </c>
      <c r="L52" s="221" t="n">
        <f aca="false">L50+L51</f>
        <v>9</v>
      </c>
      <c r="M52" s="221" t="n">
        <f aca="false">M50+M51</f>
        <v>9</v>
      </c>
      <c r="N52" s="221" t="n">
        <f aca="false">N50+N51</f>
        <v>12</v>
      </c>
      <c r="O52" s="221" t="n">
        <f aca="false">O50+O51</f>
        <v>12</v>
      </c>
      <c r="P52" s="221" t="n">
        <f aca="false">P50+P51</f>
        <v>15</v>
      </c>
      <c r="Q52" s="221" t="n">
        <f aca="false">Q50+Q51</f>
        <v>15</v>
      </c>
      <c r="R52" s="222" t="n">
        <f aca="false">AVERAGE(B52:E52)</f>
        <v>4.5</v>
      </c>
      <c r="S52" s="222" t="n">
        <f aca="false">AVERAGE(F52:Q52)</f>
        <v>10.25</v>
      </c>
      <c r="T52" s="184" t="s">
        <v>2747</v>
      </c>
    </row>
    <row r="53" customFormat="false" ht="14.25" hidden="false" customHeight="true" outlineLevel="0" collapsed="false">
      <c r="A53" s="183" t="s">
        <v>2666</v>
      </c>
      <c r="B53" s="223" t="n">
        <f aca="false">B52*$C$5/12+IF(B$24&gt;=$M$6,MIN(B52,INDEX($B52:$Q52,IFERROR(MATCH(EOMONTH($M$6,-$M$9-1),$B$24:$Q$24,0),1)))*$C$5/12*$M$5,0)</f>
        <v>14300.013</v>
      </c>
      <c r="C53" s="223" t="n">
        <f aca="false">C52*$C$5/12+IF(C$24&gt;=$M$6,MIN(C52,INDEX($B52:$Q52,IFERROR(MATCH(EOMONTH($M$6,-$M$9-1),$B$24:$Q$24,0),1)))*$C$5/12*$M$5,0)</f>
        <v>14300.013</v>
      </c>
      <c r="D53" s="223" t="n">
        <f aca="false">D52*$C$5/12+IF(D$24&gt;=$M$6,MIN(D52,INDEX($B52:$Q52,IFERROR(MATCH(EOMONTH($M$6,-$M$9-1),$B$24:$Q$24,0),1)))*$C$5/12*$M$5,0)</f>
        <v>28600.026</v>
      </c>
      <c r="E53" s="223" t="n">
        <f aca="false">E52*$C$5/12+IF(E$24&gt;=$M$6,MIN(E52,INDEX($B52:$Q52,IFERROR(MATCH(EOMONTH($M$6,-$M$9-1),$B$24:$Q$24,0),1)))*$C$5/12*$M$5,0)</f>
        <v>28600.026</v>
      </c>
      <c r="F53" s="223" t="n">
        <f aca="false">F52*$C$5/12+IF(F$24&gt;=$M$6,MIN(F52,INDEX($B52:$Q52,IFERROR(MATCH(EOMONTH($M$6,-$M$9-1),$B$24:$Q$24,0),1)))*$C$5/12*$M$5,0)</f>
        <v>28600.026</v>
      </c>
      <c r="G53" s="223" t="n">
        <f aca="false">G52*$C$5/12+IF(G$24&gt;=$M$6,MIN(G52,INDEX($B52:$Q52,IFERROR(MATCH(EOMONTH($M$6,-$M$9-1),$B$24:$Q$24,0),1)))*$C$5/12*$M$5,0)</f>
        <v>42900.039</v>
      </c>
      <c r="H53" s="223" t="n">
        <f aca="false">H52*$C$5/12+IF(H$24&gt;=$M$6,MIN(H52,INDEX($B52:$Q52,IFERROR(MATCH(EOMONTH($M$6,-$M$9-1),$B$24:$Q$24,0),1)))*$C$5/12*$M$5,0)</f>
        <v>42900.039</v>
      </c>
      <c r="I53" s="223" t="n">
        <f aca="false">I52*$C$5/12+IF(I$24&gt;=$M$6,MIN(I52,INDEX($B52:$Q52,IFERROR(MATCH(EOMONTH($M$6,-$M$9-1),$B$24:$Q$24,0),1)))*$C$5/12*$M$5,0)</f>
        <v>42900.039</v>
      </c>
      <c r="J53" s="223" t="n">
        <f aca="false">J52*$C$5/12+IF(J$24&gt;=$M$6,MIN(J52,INDEX($B52:$Q52,IFERROR(MATCH(EOMONTH($M$6,-$M$9-1),$B$24:$Q$24,0),1)))*$C$5/12*$M$5,0)</f>
        <v>42900.039</v>
      </c>
      <c r="K53" s="223" t="n">
        <f aca="false">K52*$C$5/12+IF(K$24&gt;=$M$6,MIN(K52,INDEX($B52:$Q52,IFERROR(MATCH(EOMONTH($M$6,-$M$9-1),$B$24:$Q$24,0),1)))*$C$5/12*$M$5,0)</f>
        <v>42900.039</v>
      </c>
      <c r="L53" s="223" t="n">
        <f aca="false">L52*$C$5/12+IF(L$24&gt;=$M$6,MIN(L52,INDEX($B52:$Q52,IFERROR(MATCH(EOMONTH($M$6,-$M$9-1),$B$24:$Q$24,0),1)))*$C$5/12*$M$5,0)</f>
        <v>42900.039</v>
      </c>
      <c r="M53" s="223" t="n">
        <f aca="false">M52*$C$5/12+IF(M$24&gt;=$M$6,MIN(M52,INDEX($B52:$Q52,IFERROR(MATCH(EOMONTH($M$6,-$M$9-1),$B$24:$Q$24,0),1)))*$C$5/12*$M$5,0)</f>
        <v>42900.039</v>
      </c>
      <c r="N53" s="223" t="n">
        <f aca="false">N52*$C$5/12+IF(N$24&gt;=$M$6,MIN(N52,INDEX($B52:$Q52,IFERROR(MATCH(EOMONTH($M$6,-$M$9-1),$B$24:$Q$24,0),1)))*$C$5/12*$M$5,0)</f>
        <v>57200.052</v>
      </c>
      <c r="O53" s="223" t="n">
        <f aca="false">O52*$C$5/12+IF(O$24&gt;=$M$6,MIN(O52,INDEX($B52:$Q52,IFERROR(MATCH(EOMONTH($M$6,-$M$9-1),$B$24:$Q$24,0),1)))*$C$5/12*$M$5,0)</f>
        <v>58487.05317</v>
      </c>
      <c r="P53" s="223" t="n">
        <f aca="false">P52*$C$5/12+IF(P$24&gt;=$M$6,MIN(P52,INDEX($B52:$Q52,IFERROR(MATCH(EOMONTH($M$6,-$M$9-1),$B$24:$Q$24,0),1)))*$C$5/12*$M$5,0)</f>
        <v>72787.06617</v>
      </c>
      <c r="Q53" s="223" t="n">
        <f aca="false">Q52*$C$5/12+IF(Q$24&gt;=$M$6,MIN(Q52,INDEX($B52:$Q52,IFERROR(MATCH(EOMONTH($M$6,-$M$9-1),$B$24:$Q$24,0),1)))*$C$5/12*$M$5,0)</f>
        <v>72787.06617</v>
      </c>
      <c r="R53" s="224" t="n">
        <f aca="false">SUM(B53:E53)</f>
        <v>85800.078</v>
      </c>
      <c r="S53" s="224" t="n">
        <f aca="false">SUM(F53:Q53)</f>
        <v>590161.53651</v>
      </c>
    </row>
    <row r="54" customFormat="false" ht="14.25" hidden="false" customHeight="true" outlineLevel="0" collapsed="false">
      <c r="A54" s="183" t="s">
        <v>2748</v>
      </c>
      <c r="B54" s="225" t="n">
        <v>0.05</v>
      </c>
      <c r="C54" s="225" t="n">
        <v>0.05</v>
      </c>
      <c r="D54" s="225" t="n">
        <v>0.06</v>
      </c>
      <c r="E54" s="225" t="n">
        <v>0.08</v>
      </c>
      <c r="F54" s="225" t="n">
        <v>0.05</v>
      </c>
      <c r="G54" s="225" t="n">
        <v>0.05</v>
      </c>
      <c r="H54" s="225" t="n">
        <v>0.05</v>
      </c>
      <c r="I54" s="225" t="n">
        <v>0.05</v>
      </c>
      <c r="J54" s="225" t="n">
        <v>0.06</v>
      </c>
      <c r="K54" s="225" t="n">
        <v>0.07</v>
      </c>
      <c r="L54" s="225" t="n">
        <v>0.08</v>
      </c>
      <c r="M54" s="225" t="n">
        <v>0.07</v>
      </c>
      <c r="N54" s="225" t="n">
        <v>0.05</v>
      </c>
      <c r="O54" s="225" t="n">
        <v>0.05</v>
      </c>
      <c r="P54" s="225" t="n">
        <v>0.06</v>
      </c>
      <c r="Q54" s="225" t="n">
        <v>0.08</v>
      </c>
      <c r="R54" s="226" t="n">
        <f aca="false">IFERROR(R55/R53,0)</f>
        <v>0.0633333333333333</v>
      </c>
      <c r="S54" s="226" t="n">
        <f aca="false">IFERROR(S55/S53,0)</f>
        <v>0.0607487278895081</v>
      </c>
      <c r="T54" s="184" t="s">
        <v>2749</v>
      </c>
    </row>
    <row r="55" customFormat="false" ht="14.25" hidden="false" customHeight="true" outlineLevel="0" collapsed="false">
      <c r="A55" s="183" t="s">
        <v>2750</v>
      </c>
      <c r="B55" s="223" t="n">
        <f aca="false">B53*B54</f>
        <v>715.00065</v>
      </c>
      <c r="C55" s="223" t="n">
        <f aca="false">C53*C54</f>
        <v>715.00065</v>
      </c>
      <c r="D55" s="223" t="n">
        <f aca="false">D53*D54</f>
        <v>1716.00156</v>
      </c>
      <c r="E55" s="223" t="n">
        <f aca="false">E53*E54</f>
        <v>2288.00208</v>
      </c>
      <c r="F55" s="223" t="n">
        <f aca="false">F53*F54</f>
        <v>1430.0013</v>
      </c>
      <c r="G55" s="223" t="n">
        <f aca="false">G53*G54</f>
        <v>2145.00195</v>
      </c>
      <c r="H55" s="223" t="n">
        <f aca="false">H53*H54</f>
        <v>2145.00195</v>
      </c>
      <c r="I55" s="223" t="n">
        <f aca="false">I53*I54</f>
        <v>2145.00195</v>
      </c>
      <c r="J55" s="223" t="n">
        <f aca="false">J53*J54</f>
        <v>2574.00234</v>
      </c>
      <c r="K55" s="223" t="n">
        <f aca="false">K53*K54</f>
        <v>3003.00273</v>
      </c>
      <c r="L55" s="223" t="n">
        <f aca="false">L53*L54</f>
        <v>3432.00312</v>
      </c>
      <c r="M55" s="223" t="n">
        <f aca="false">M53*M54</f>
        <v>3003.00273</v>
      </c>
      <c r="N55" s="223" t="n">
        <f aca="false">N53*N54</f>
        <v>2860.0026</v>
      </c>
      <c r="O55" s="223" t="n">
        <f aca="false">O53*O54</f>
        <v>2924.3526585</v>
      </c>
      <c r="P55" s="223" t="n">
        <f aca="false">P53*P54</f>
        <v>4367.2239702</v>
      </c>
      <c r="Q55" s="223" t="n">
        <f aca="false">Q53*Q54</f>
        <v>5822.9652936</v>
      </c>
      <c r="R55" s="224" t="n">
        <f aca="false">SUM(B55:E55)</f>
        <v>5434.00494</v>
      </c>
      <c r="S55" s="224" t="n">
        <f aca="false">SUM(F55:Q55)</f>
        <v>35851.5625923</v>
      </c>
    </row>
    <row r="56" customFormat="false" ht="14.25" hidden="false" customHeight="true" outlineLevel="0" collapsed="false">
      <c r="A56" s="183" t="s">
        <v>2751</v>
      </c>
      <c r="B56" s="225" t="n">
        <v>0</v>
      </c>
      <c r="C56" s="225" t="n">
        <v>0</v>
      </c>
      <c r="D56" s="225" t="n">
        <v>0</v>
      </c>
      <c r="E56" s="225" t="n">
        <v>0</v>
      </c>
      <c r="F56" s="225" t="n">
        <v>0</v>
      </c>
      <c r="G56" s="225" t="n">
        <v>0</v>
      </c>
      <c r="H56" s="225" t="n">
        <v>0</v>
      </c>
      <c r="I56" s="225" t="n">
        <v>0</v>
      </c>
      <c r="J56" s="225" t="n">
        <v>0</v>
      </c>
      <c r="K56" s="225" t="n">
        <v>0</v>
      </c>
      <c r="L56" s="225" t="n">
        <v>0</v>
      </c>
      <c r="M56" s="225" t="n">
        <v>0</v>
      </c>
      <c r="N56" s="225" t="n">
        <v>0</v>
      </c>
      <c r="O56" s="225" t="n">
        <v>0</v>
      </c>
      <c r="P56" s="225" t="n">
        <v>0</v>
      </c>
      <c r="Q56" s="225" t="n">
        <v>0</v>
      </c>
      <c r="R56" s="226" t="n">
        <f aca="false">IFERROR(R57/R53/$M$10,0)</f>
        <v>0</v>
      </c>
      <c r="S56" s="226" t="n">
        <f aca="false">IFERROR(S57/S53/$M$10,0)</f>
        <v>0</v>
      </c>
      <c r="T56" s="184" t="s">
        <v>2749</v>
      </c>
    </row>
    <row r="57" customFormat="false" ht="14.25" hidden="false" customHeight="true" outlineLevel="0" collapsed="false">
      <c r="A57" s="183" t="s">
        <v>2752</v>
      </c>
      <c r="B57" s="223" t="n">
        <f aca="false">B53*B56*$M$10</f>
        <v>0</v>
      </c>
      <c r="C57" s="223" t="n">
        <f aca="false">C53*C56*$M$10</f>
        <v>0</v>
      </c>
      <c r="D57" s="223" t="n">
        <f aca="false">D53*D56*$M$10</f>
        <v>0</v>
      </c>
      <c r="E57" s="223" t="n">
        <f aca="false">E53*E56*$M$10</f>
        <v>0</v>
      </c>
      <c r="F57" s="223" t="n">
        <f aca="false">F53*F56*$M$10</f>
        <v>0</v>
      </c>
      <c r="G57" s="223" t="n">
        <f aca="false">G53*G56*$M$10</f>
        <v>0</v>
      </c>
      <c r="H57" s="223" t="n">
        <f aca="false">H53*H56*$M$10</f>
        <v>0</v>
      </c>
      <c r="I57" s="223" t="n">
        <f aca="false">I53*I56*$M$10</f>
        <v>0</v>
      </c>
      <c r="J57" s="223" t="n">
        <f aca="false">J53*J56*$M$10</f>
        <v>0</v>
      </c>
      <c r="K57" s="223" t="n">
        <f aca="false">K53*K56*$M$10</f>
        <v>0</v>
      </c>
      <c r="L57" s="223" t="n">
        <f aca="false">L53*L56*$M$10</f>
        <v>0</v>
      </c>
      <c r="M57" s="223" t="n">
        <f aca="false">M53*M56*$M$10</f>
        <v>0</v>
      </c>
      <c r="N57" s="223" t="n">
        <f aca="false">N53*N56*$M$10</f>
        <v>0</v>
      </c>
      <c r="O57" s="223" t="n">
        <f aca="false">O53*O56*$M$10</f>
        <v>0</v>
      </c>
      <c r="P57" s="223" t="n">
        <f aca="false">P53*P56*$M$10</f>
        <v>0</v>
      </c>
      <c r="Q57" s="223" t="n">
        <f aca="false">Q53*Q56*$M$10</f>
        <v>0</v>
      </c>
      <c r="R57" s="224" t="n">
        <f aca="false">SUM(B57:E57)</f>
        <v>0</v>
      </c>
      <c r="S57" s="224" t="n">
        <f aca="false">SUM(F57:Q57)</f>
        <v>0</v>
      </c>
    </row>
    <row r="58" customFormat="false" ht="14.25" hidden="false" customHeight="true" outlineLevel="0" collapsed="false">
      <c r="A58" s="183" t="s">
        <v>2667</v>
      </c>
      <c r="B58" s="223" t="n">
        <f aca="false">(B53+B55+B57)*$C$6</f>
        <v>1126.12602375</v>
      </c>
      <c r="C58" s="223" t="n">
        <f aca="false">(C53+C55+C57)*$C$6</f>
        <v>1126.12602375</v>
      </c>
      <c r="D58" s="223" t="n">
        <f aca="false">(D53+D55+D57)*$C$6</f>
        <v>2273.702067</v>
      </c>
      <c r="E58" s="223" t="n">
        <f aca="false">(E53+E55+E57)*$C$6</f>
        <v>2316.602106</v>
      </c>
      <c r="F58" s="223" t="n">
        <f aca="false">(F53+F55+F57)*$C$6</f>
        <v>2252.2520475</v>
      </c>
      <c r="G58" s="223" t="n">
        <f aca="false">(G53+G55+G57)*$C$6</f>
        <v>3378.37807125</v>
      </c>
      <c r="H58" s="223" t="n">
        <f aca="false">(H53+H55+H57)*$C$6</f>
        <v>3378.37807125</v>
      </c>
      <c r="I58" s="223" t="n">
        <f aca="false">(I53+I55+I57)*$C$6</f>
        <v>3378.37807125</v>
      </c>
      <c r="J58" s="223" t="n">
        <f aca="false">(J53+J55+J57)*$C$6</f>
        <v>3410.5531005</v>
      </c>
      <c r="K58" s="223" t="n">
        <f aca="false">(K53+K55+K57)*$C$6</f>
        <v>3442.72812975</v>
      </c>
      <c r="L58" s="223" t="n">
        <f aca="false">(L53+L55+L57)*$C$6</f>
        <v>3474.903159</v>
      </c>
      <c r="M58" s="223" t="n">
        <f aca="false">(M53+M55+M57)*$C$6</f>
        <v>3442.72812975</v>
      </c>
      <c r="N58" s="223" t="n">
        <f aca="false">(N53+N55+N57)*$C$6</f>
        <v>4504.504095</v>
      </c>
      <c r="O58" s="223" t="n">
        <f aca="false">(O53+O55+O57)*$C$6</f>
        <v>4605.8554371375</v>
      </c>
      <c r="P58" s="223" t="n">
        <f aca="false">(P53+P55+P57)*$C$6</f>
        <v>5786.571760515</v>
      </c>
      <c r="Q58" s="223" t="n">
        <f aca="false">(Q53+Q55+Q57)*$C$6</f>
        <v>5895.75235977</v>
      </c>
      <c r="R58" s="224" t="n">
        <f aca="false">SUM(B58:E58)</f>
        <v>6842.5562205</v>
      </c>
      <c r="S58" s="224" t="n">
        <f aca="false">SUM(F58:Q58)</f>
        <v>46950.9824326725</v>
      </c>
    </row>
    <row r="59" customFormat="false" ht="14.25" hidden="false" customHeight="true" outlineLevel="0" collapsed="false">
      <c r="A59" s="183" t="s">
        <v>2289</v>
      </c>
      <c r="B59" s="223" t="n">
        <f aca="false">B53*$C$7</f>
        <v>1144.00104</v>
      </c>
      <c r="C59" s="223" t="n">
        <f aca="false">C53*$C$7</f>
        <v>1144.00104</v>
      </c>
      <c r="D59" s="223" t="n">
        <f aca="false">D53*$C$7</f>
        <v>2288.00208</v>
      </c>
      <c r="E59" s="223" t="n">
        <f aca="false">E53*$C$7</f>
        <v>2288.00208</v>
      </c>
      <c r="F59" s="223" t="n">
        <f aca="false">F53*$C$7</f>
        <v>2288.00208</v>
      </c>
      <c r="G59" s="223" t="n">
        <f aca="false">G53*$C$7</f>
        <v>3432.00312</v>
      </c>
      <c r="H59" s="223" t="n">
        <f aca="false">H53*$C$7</f>
        <v>3432.00312</v>
      </c>
      <c r="I59" s="223" t="n">
        <f aca="false">I53*$C$7</f>
        <v>3432.00312</v>
      </c>
      <c r="J59" s="223" t="n">
        <f aca="false">J53*$C$7</f>
        <v>3432.00312</v>
      </c>
      <c r="K59" s="223" t="n">
        <f aca="false">K53*$C$7</f>
        <v>3432.00312</v>
      </c>
      <c r="L59" s="223" t="n">
        <f aca="false">L53*$C$7</f>
        <v>3432.00312</v>
      </c>
      <c r="M59" s="223" t="n">
        <f aca="false">M53*$C$7</f>
        <v>3432.00312</v>
      </c>
      <c r="N59" s="223" t="n">
        <f aca="false">N53*$C$7</f>
        <v>4576.00416</v>
      </c>
      <c r="O59" s="223" t="n">
        <f aca="false">O53*$C$7</f>
        <v>4678.9642536</v>
      </c>
      <c r="P59" s="223" t="n">
        <f aca="false">P53*$C$7</f>
        <v>5822.9652936</v>
      </c>
      <c r="Q59" s="223" t="n">
        <f aca="false">Q53*$C$7</f>
        <v>5822.9652936</v>
      </c>
      <c r="R59" s="224" t="n">
        <f aca="false">SUM(B59:E59)</f>
        <v>6864.00624</v>
      </c>
      <c r="S59" s="224" t="n">
        <f aca="false">SUM(F59:Q59)</f>
        <v>47212.9229208</v>
      </c>
    </row>
    <row r="60" customFormat="false" ht="14.25" hidden="false" customHeight="true" outlineLevel="0" collapsed="false">
      <c r="A60" s="183" t="s">
        <v>2762</v>
      </c>
      <c r="B60" s="221" t="n">
        <f aca="false">B51</f>
        <v>1</v>
      </c>
      <c r="C60" s="221" t="n">
        <f aca="false">MAX(0,C51-B51)</f>
        <v>0</v>
      </c>
      <c r="D60" s="221" t="n">
        <f aca="false">MAX(0,D51-C51)</f>
        <v>3</v>
      </c>
      <c r="E60" s="221" t="n">
        <f aca="false">MAX(0,E51-D51)</f>
        <v>0</v>
      </c>
      <c r="F60" s="221" t="n">
        <f aca="false">MAX(0,F51-E51)</f>
        <v>0</v>
      </c>
      <c r="G60" s="221" t="n">
        <f aca="false">MAX(0,G51-F51)</f>
        <v>3</v>
      </c>
      <c r="H60" s="221" t="n">
        <f aca="false">MAX(0,H51-G51)</f>
        <v>0</v>
      </c>
      <c r="I60" s="221" t="n">
        <f aca="false">MAX(0,I51-H51)</f>
        <v>0</v>
      </c>
      <c r="J60" s="221" t="n">
        <f aca="false">MAX(0,J51-I51)</f>
        <v>0</v>
      </c>
      <c r="K60" s="221" t="n">
        <f aca="false">MAX(0,K51-J51)</f>
        <v>0</v>
      </c>
      <c r="L60" s="221" t="n">
        <f aca="false">MAX(0,L51-K51)</f>
        <v>0</v>
      </c>
      <c r="M60" s="221" t="n">
        <f aca="false">MAX(0,M51-L51)</f>
        <v>0</v>
      </c>
      <c r="N60" s="221" t="n">
        <f aca="false">MAX(0,N51-M51)</f>
        <v>3</v>
      </c>
      <c r="O60" s="221" t="n">
        <f aca="false">MAX(0,O51-N51)</f>
        <v>0</v>
      </c>
      <c r="P60" s="221" t="n">
        <f aca="false">MAX(0,P51-O51)</f>
        <v>3</v>
      </c>
      <c r="Q60" s="221" t="n">
        <f aca="false">MAX(0,Q51-P51)</f>
        <v>0</v>
      </c>
      <c r="R60" s="222" t="n">
        <f aca="false">SUM(B60:E60)</f>
        <v>4</v>
      </c>
      <c r="S60" s="222" t="n">
        <f aca="false">SUM(F60:Q60)</f>
        <v>9</v>
      </c>
      <c r="T60" s="184"/>
    </row>
    <row r="61" customFormat="false" ht="14.25" hidden="false" customHeight="true" outlineLevel="0" collapsed="false">
      <c r="A61" s="183" t="s">
        <v>2674</v>
      </c>
      <c r="B61" s="223" t="n">
        <f aca="false">B60*$M$7</f>
        <v>1000</v>
      </c>
      <c r="C61" s="223" t="n">
        <f aca="false">C60*$M$7</f>
        <v>0</v>
      </c>
      <c r="D61" s="223" t="n">
        <f aca="false">D60*$M$7</f>
        <v>3000</v>
      </c>
      <c r="E61" s="223" t="n">
        <f aca="false">E60*$M$7</f>
        <v>0</v>
      </c>
      <c r="F61" s="223" t="n">
        <f aca="false">F60*$M$7</f>
        <v>0</v>
      </c>
      <c r="G61" s="223" t="n">
        <f aca="false">G60*$M$7</f>
        <v>3000</v>
      </c>
      <c r="H61" s="223" t="n">
        <f aca="false">H60*$M$7</f>
        <v>0</v>
      </c>
      <c r="I61" s="223" t="n">
        <f aca="false">I60*$M$7</f>
        <v>0</v>
      </c>
      <c r="J61" s="223" t="n">
        <f aca="false">J60*$M$7</f>
        <v>0</v>
      </c>
      <c r="K61" s="223" t="n">
        <f aca="false">K60*$M$7</f>
        <v>0</v>
      </c>
      <c r="L61" s="223" t="n">
        <f aca="false">L60*$M$7</f>
        <v>0</v>
      </c>
      <c r="M61" s="223" t="n">
        <f aca="false">M60*$M$7</f>
        <v>0</v>
      </c>
      <c r="N61" s="223" t="n">
        <f aca="false">N60*$M$7</f>
        <v>3000</v>
      </c>
      <c r="O61" s="223" t="n">
        <f aca="false">O60*$M$7</f>
        <v>0</v>
      </c>
      <c r="P61" s="223" t="n">
        <f aca="false">P60*$M$7</f>
        <v>3000</v>
      </c>
      <c r="Q61" s="223" t="n">
        <f aca="false">Q60*$M$7</f>
        <v>0</v>
      </c>
      <c r="R61" s="224" t="n">
        <f aca="false">SUM(B61:E61)</f>
        <v>4000</v>
      </c>
      <c r="S61" s="224" t="n">
        <f aca="false">SUM(F61:Q61)</f>
        <v>9000</v>
      </c>
    </row>
    <row r="62" customFormat="false" ht="14.25" hidden="false" customHeight="true" outlineLevel="0" collapsed="false">
      <c r="A62" s="227" t="s">
        <v>2763</v>
      </c>
      <c r="B62" s="228" t="n">
        <f aca="false">B53+B55+B57+B58+B59+B61</f>
        <v>18285.14071375</v>
      </c>
      <c r="C62" s="228" t="n">
        <f aca="false">C53+C55+C57+C58+C59+C61</f>
        <v>17285.14071375</v>
      </c>
      <c r="D62" s="228" t="n">
        <f aca="false">D53+D55+D57+D58+D59+D61</f>
        <v>37877.731707</v>
      </c>
      <c r="E62" s="228" t="n">
        <f aca="false">E53+E55+E57+E58+E59+E61</f>
        <v>35492.632266</v>
      </c>
      <c r="F62" s="228" t="n">
        <f aca="false">F53+F55+F57+F58+F59+F61</f>
        <v>34570.2814275</v>
      </c>
      <c r="G62" s="228" t="n">
        <f aca="false">G53+G55+G57+G58+G59+G61</f>
        <v>54855.42214125</v>
      </c>
      <c r="H62" s="228" t="n">
        <f aca="false">H53+H55+H57+H58+H59+H61</f>
        <v>51855.42214125</v>
      </c>
      <c r="I62" s="228" t="n">
        <f aca="false">I53+I55+I57+I58+I59+I61</f>
        <v>51855.42214125</v>
      </c>
      <c r="J62" s="228" t="n">
        <f aca="false">J53+J55+J57+J58+J59+J61</f>
        <v>52316.5975605</v>
      </c>
      <c r="K62" s="228" t="n">
        <f aca="false">K53+K55+K57+K58+K59+K61</f>
        <v>52777.77297975</v>
      </c>
      <c r="L62" s="228" t="n">
        <f aca="false">L53+L55+L57+L58+L59+L61</f>
        <v>53238.948399</v>
      </c>
      <c r="M62" s="228" t="n">
        <f aca="false">M53+M55+M57+M58+M59+M61</f>
        <v>52777.77297975</v>
      </c>
      <c r="N62" s="228" t="n">
        <f aca="false">N53+N55+N57+N58+N59+N61</f>
        <v>72140.562855</v>
      </c>
      <c r="O62" s="228" t="n">
        <f aca="false">O53+O55+O57+O58+O59+O61</f>
        <v>70696.2255192375</v>
      </c>
      <c r="P62" s="228" t="n">
        <f aca="false">P53+P55+P57+P58+P59+P61</f>
        <v>91763.827194315</v>
      </c>
      <c r="Q62" s="228" t="n">
        <f aca="false">Q53+Q55+Q57+Q58+Q59+Q61</f>
        <v>90328.74911697</v>
      </c>
      <c r="R62" s="229" t="n">
        <f aca="false">SUM(B62:E62)</f>
        <v>108940.6454005</v>
      </c>
      <c r="S62" s="229" t="n">
        <f aca="false">SUM(F62:Q62)</f>
        <v>729177.004455773</v>
      </c>
    </row>
    <row r="63" customFormat="false" ht="14.25" hidden="false" customHeight="true" outlineLevel="0" collapsed="false">
      <c r="B63" s="230"/>
      <c r="C63" s="230"/>
      <c r="D63" s="230"/>
      <c r="E63" s="230"/>
      <c r="F63" s="230"/>
      <c r="G63" s="230"/>
      <c r="H63" s="230"/>
      <c r="I63" s="230"/>
      <c r="J63" s="230"/>
      <c r="K63" s="230"/>
      <c r="L63" s="230"/>
      <c r="M63" s="230"/>
      <c r="N63" s="230"/>
      <c r="O63" s="230"/>
      <c r="P63" s="230"/>
      <c r="Q63" s="230"/>
      <c r="R63" s="230"/>
      <c r="S63" s="230"/>
    </row>
    <row r="64" customFormat="false" ht="14.25" hidden="false" customHeight="true" outlineLevel="0" collapsed="false">
      <c r="A64" s="231" t="s">
        <v>2755</v>
      </c>
      <c r="B64" s="199" t="str">
        <f aca="false">IF(B47&gt;MAX($B$20:$O$20),"OVER","OK")</f>
        <v>OK</v>
      </c>
      <c r="C64" s="199" t="str">
        <f aca="false">IF(C47&gt;MAX($B$20:$O$20),"OVER","OK")</f>
        <v>OK</v>
      </c>
      <c r="D64" s="199" t="str">
        <f aca="false">IF(D47&gt;MAX($B$20:$O$20),"OVER","OK")</f>
        <v>OK</v>
      </c>
      <c r="E64" s="199" t="str">
        <f aca="false">IF(E47&gt;MAX($B$20:$O$20),"OVER","OK")</f>
        <v>OK</v>
      </c>
      <c r="F64" s="199" t="str">
        <f aca="false">IF(F47&gt;MAX($B$20:$O$20),"OVER","OK")</f>
        <v>OK</v>
      </c>
      <c r="G64" s="199" t="str">
        <f aca="false">IF(G47&gt;MAX($B$20:$O$20),"OVER","OK")</f>
        <v>OK</v>
      </c>
      <c r="H64" s="199" t="str">
        <f aca="false">IF(H47&gt;MAX($B$20:$O$20),"OVER","OK")</f>
        <v>OK</v>
      </c>
      <c r="I64" s="199" t="str">
        <f aca="false">IF(I47&gt;MAX($B$20:$O$20),"OVER","OK")</f>
        <v>OK</v>
      </c>
      <c r="J64" s="199" t="str">
        <f aca="false">IF(J47&gt;MAX($B$20:$O$20),"OVER","OK")</f>
        <v>OK</v>
      </c>
      <c r="K64" s="199" t="str">
        <f aca="false">IF(K47&gt;MAX($B$20:$O$20),"OVER","OK")</f>
        <v>OK</v>
      </c>
      <c r="L64" s="199" t="str">
        <f aca="false">IF(L47&gt;MAX($B$20:$O$20),"OVER","OK")</f>
        <v>OK</v>
      </c>
      <c r="M64" s="199" t="str">
        <f aca="false">IF(M47&gt;MAX($B$20:$O$20),"OVER","OK")</f>
        <v>OK</v>
      </c>
      <c r="N64" s="199" t="str">
        <f aca="false">IF(N47&gt;MAX($B$20:$O$20),"OVER","OK")</f>
        <v>OK</v>
      </c>
      <c r="O64" s="199" t="str">
        <f aca="false">IF(O47&gt;MAX($B$20:$O$20),"OVER","OK")</f>
        <v>OK</v>
      </c>
      <c r="P64" s="199" t="str">
        <f aca="false">IF(P47&gt;MAX($B$20:$O$20),"OVER","OK")</f>
        <v>OK</v>
      </c>
      <c r="Q64" s="199" t="str">
        <f aca="false">IF(Q47&gt;MAX($B$20:$O$20),"OVER","OK")</f>
        <v>OK</v>
      </c>
      <c r="R64" s="230"/>
      <c r="S64" s="230"/>
    </row>
    <row r="65" customFormat="false" ht="14.25" hidden="false" customHeight="true" outlineLevel="0" collapsed="false"/>
    <row r="66" customFormat="false" ht="14.25" hidden="false" customHeight="true" outlineLevel="0" collapsed="false">
      <c r="A66" s="212" t="s">
        <v>2764</v>
      </c>
      <c r="B66" s="213" t="n">
        <f aca="false">B$24</f>
        <v>46295</v>
      </c>
      <c r="C66" s="213" t="n">
        <f aca="false">C$24</f>
        <v>46326</v>
      </c>
      <c r="D66" s="213" t="n">
        <f aca="false">D$24</f>
        <v>46356</v>
      </c>
      <c r="E66" s="213" t="n">
        <f aca="false">E$24</f>
        <v>46387</v>
      </c>
      <c r="F66" s="213" t="n">
        <f aca="false">F$24</f>
        <v>46418</v>
      </c>
      <c r="G66" s="213" t="n">
        <f aca="false">G$24</f>
        <v>46446</v>
      </c>
      <c r="H66" s="213" t="n">
        <f aca="false">H$24</f>
        <v>46477</v>
      </c>
      <c r="I66" s="213" t="n">
        <f aca="false">I$24</f>
        <v>46507</v>
      </c>
      <c r="J66" s="213" t="n">
        <f aca="false">J$24</f>
        <v>46538</v>
      </c>
      <c r="K66" s="213" t="n">
        <f aca="false">K$24</f>
        <v>46568</v>
      </c>
      <c r="L66" s="213" t="n">
        <f aca="false">L$24</f>
        <v>46599</v>
      </c>
      <c r="M66" s="213" t="n">
        <f aca="false">M$24</f>
        <v>46630</v>
      </c>
      <c r="N66" s="213" t="n">
        <f aca="false">N$24</f>
        <v>46660</v>
      </c>
      <c r="O66" s="213" t="n">
        <f aca="false">O$24</f>
        <v>46691</v>
      </c>
      <c r="P66" s="213" t="n">
        <f aca="false">P$24</f>
        <v>46721</v>
      </c>
      <c r="Q66" s="213" t="n">
        <f aca="false">Q$24</f>
        <v>46752</v>
      </c>
      <c r="R66" s="214" t="str">
        <f aca="false">R24</f>
        <v>Sep–Dec 2026</v>
      </c>
      <c r="S66" s="214" t="str">
        <f aca="false">S24</f>
        <v>FY2027</v>
      </c>
    </row>
    <row r="67" customFormat="false" ht="14.25" hidden="false" customHeight="true" outlineLevel="0" collapsed="false">
      <c r="A67" s="183" t="s">
        <v>2765</v>
      </c>
      <c r="B67" s="221" t="n">
        <f aca="false">B31+B52</f>
        <v>13</v>
      </c>
      <c r="C67" s="221" t="n">
        <f aca="false">C31+C52</f>
        <v>13</v>
      </c>
      <c r="D67" s="221" t="n">
        <f aca="false">D31+D52</f>
        <v>22</v>
      </c>
      <c r="E67" s="221" t="n">
        <f aca="false">E31+E52</f>
        <v>22</v>
      </c>
      <c r="F67" s="221" t="n">
        <f aca="false">F31+F52</f>
        <v>22</v>
      </c>
      <c r="G67" s="221" t="n">
        <f aca="false">G31+G52</f>
        <v>28</v>
      </c>
      <c r="H67" s="221" t="n">
        <f aca="false">H31+H52</f>
        <v>28</v>
      </c>
      <c r="I67" s="221" t="n">
        <f aca="false">I31+I52</f>
        <v>28</v>
      </c>
      <c r="J67" s="221" t="n">
        <f aca="false">J31+J52</f>
        <v>28</v>
      </c>
      <c r="K67" s="221" t="n">
        <f aca="false">K31+K52</f>
        <v>28</v>
      </c>
      <c r="L67" s="221" t="n">
        <f aca="false">L31+L52</f>
        <v>31</v>
      </c>
      <c r="M67" s="221" t="n">
        <f aca="false">M31+M52</f>
        <v>31</v>
      </c>
      <c r="N67" s="221" t="n">
        <f aca="false">N31+N52</f>
        <v>37</v>
      </c>
      <c r="O67" s="221" t="n">
        <f aca="false">O31+O52</f>
        <v>40</v>
      </c>
      <c r="P67" s="221" t="n">
        <f aca="false">P31+P52</f>
        <v>47</v>
      </c>
      <c r="Q67" s="221" t="n">
        <f aca="false">Q31+Q52</f>
        <v>50</v>
      </c>
      <c r="R67" s="222" t="n">
        <f aca="false">AVERAGE(B67:E67)</f>
        <v>17.5</v>
      </c>
      <c r="S67" s="222" t="n">
        <f aca="false">AVERAGE(F67:Q67)</f>
        <v>33.1666666666667</v>
      </c>
      <c r="T67" s="184" t="s">
        <v>2747</v>
      </c>
    </row>
    <row r="68" customFormat="false" ht="14.25" hidden="false" customHeight="true" outlineLevel="0" collapsed="false">
      <c r="A68" s="183" t="s">
        <v>2693</v>
      </c>
      <c r="B68" s="221" t="n">
        <f aca="false">MAX($H$9,ROUNDUP(B67/$H$8,0))</f>
        <v>1</v>
      </c>
      <c r="C68" s="221" t="n">
        <f aca="false">MAX(B68,$H$9,ROUNDUP(C67/$H$8,0))</f>
        <v>1</v>
      </c>
      <c r="D68" s="221" t="n">
        <f aca="false">MAX(C68,$H$9,ROUNDUP(D67/$H$8,0))</f>
        <v>2</v>
      </c>
      <c r="E68" s="221" t="n">
        <f aca="false">MAX(D68,$H$9,ROUNDUP(E67/$H$8,0))</f>
        <v>2</v>
      </c>
      <c r="F68" s="221" t="n">
        <f aca="false">MAX(E68,$H$9,ROUNDUP(F67/$H$8,0))</f>
        <v>2</v>
      </c>
      <c r="G68" s="221" t="n">
        <f aca="false">MAX(F68,$H$9,ROUNDUP(G67/$H$8,0))</f>
        <v>2</v>
      </c>
      <c r="H68" s="221" t="n">
        <f aca="false">MAX(G68,$H$9,ROUNDUP(H67/$H$8,0))</f>
        <v>2</v>
      </c>
      <c r="I68" s="221" t="n">
        <f aca="false">MAX(H68,$H$9,ROUNDUP(I67/$H$8,0))</f>
        <v>2</v>
      </c>
      <c r="J68" s="221" t="n">
        <f aca="false">MAX(I68,$H$9,ROUNDUP(J67/$H$8,0))</f>
        <v>2</v>
      </c>
      <c r="K68" s="221" t="n">
        <f aca="false">MAX(J68,$H$9,ROUNDUP(K67/$H$8,0))</f>
        <v>2</v>
      </c>
      <c r="L68" s="221" t="n">
        <f aca="false">MAX(K68,$H$9,ROUNDUP(L67/$H$8,0))</f>
        <v>3</v>
      </c>
      <c r="M68" s="221" t="n">
        <f aca="false">MAX(L68,$H$9,ROUNDUP(M67/$H$8,0))</f>
        <v>3</v>
      </c>
      <c r="N68" s="221" t="n">
        <f aca="false">MAX(M68,$H$9,ROUNDUP(N67/$H$8,0))</f>
        <v>3</v>
      </c>
      <c r="O68" s="221" t="n">
        <f aca="false">MAX(N68,$H$9,ROUNDUP(O67/$H$8,0))</f>
        <v>3</v>
      </c>
      <c r="P68" s="221" t="n">
        <f aca="false">MAX(O68,$H$9,ROUNDUP(P67/$H$8,0))</f>
        <v>4</v>
      </c>
      <c r="Q68" s="221" t="n">
        <f aca="false">MAX(P68,$H$9,ROUNDUP(Q67/$H$8,0))</f>
        <v>4</v>
      </c>
      <c r="R68" s="222" t="n">
        <f aca="false">AVERAGE(B68:E68)</f>
        <v>1.5</v>
      </c>
      <c r="S68" s="222" t="n">
        <f aca="false">AVERAGE(F68:Q68)</f>
        <v>2.66666666666667</v>
      </c>
      <c r="T68" s="184"/>
    </row>
    <row r="69" customFormat="false" ht="14.25" hidden="false" customHeight="true" outlineLevel="0" collapsed="false">
      <c r="A69" s="183" t="s">
        <v>2728</v>
      </c>
      <c r="B69" s="221" t="n">
        <f aca="false">$H$10</f>
        <v>0</v>
      </c>
      <c r="C69" s="221" t="n">
        <f aca="false">$H$10</f>
        <v>0</v>
      </c>
      <c r="D69" s="221" t="n">
        <f aca="false">$H$10</f>
        <v>0</v>
      </c>
      <c r="E69" s="221" t="n">
        <f aca="false">$H$10</f>
        <v>0</v>
      </c>
      <c r="F69" s="221" t="n">
        <f aca="false">$H$10</f>
        <v>0</v>
      </c>
      <c r="G69" s="221" t="n">
        <f aca="false">$H$10</f>
        <v>0</v>
      </c>
      <c r="H69" s="221" t="n">
        <f aca="false">$H$10</f>
        <v>0</v>
      </c>
      <c r="I69" s="221" t="n">
        <f aca="false">$H$10</f>
        <v>0</v>
      </c>
      <c r="J69" s="221" t="n">
        <f aca="false">$H$10</f>
        <v>0</v>
      </c>
      <c r="K69" s="221" t="n">
        <f aca="false">$H$10</f>
        <v>0</v>
      </c>
      <c r="L69" s="221" t="n">
        <f aca="false">$H$10</f>
        <v>0</v>
      </c>
      <c r="M69" s="221" t="n">
        <f aca="false">$H$10</f>
        <v>0</v>
      </c>
      <c r="N69" s="221" t="n">
        <f aca="false">$H$10</f>
        <v>0</v>
      </c>
      <c r="O69" s="221" t="n">
        <f aca="false">$H$10</f>
        <v>0</v>
      </c>
      <c r="P69" s="221" t="n">
        <f aca="false">$H$10</f>
        <v>0</v>
      </c>
      <c r="Q69" s="221" t="n">
        <f aca="false">$H$10</f>
        <v>0</v>
      </c>
      <c r="R69" s="222" t="n">
        <f aca="false">AVERAGE(B69:E69)</f>
        <v>0</v>
      </c>
      <c r="S69" s="222" t="n">
        <f aca="false">AVERAGE(F69:Q69)</f>
        <v>0</v>
      </c>
      <c r="T69" s="184"/>
    </row>
    <row r="70" customFormat="false" ht="14.25" hidden="false" customHeight="true" outlineLevel="0" collapsed="false">
      <c r="A70" s="183" t="s">
        <v>2745</v>
      </c>
      <c r="B70" s="221" t="n">
        <f aca="false">MAX(0,B68-B69)</f>
        <v>1</v>
      </c>
      <c r="C70" s="221" t="n">
        <f aca="false">MAX(0,C68-C69)</f>
        <v>1</v>
      </c>
      <c r="D70" s="221" t="n">
        <f aca="false">MAX(0,D68-D69)</f>
        <v>2</v>
      </c>
      <c r="E70" s="221" t="n">
        <f aca="false">MAX(0,E68-E69)</f>
        <v>2</v>
      </c>
      <c r="F70" s="221" t="n">
        <f aca="false">MAX(0,F68-F69)</f>
        <v>2</v>
      </c>
      <c r="G70" s="221" t="n">
        <f aca="false">MAX(0,G68-G69)</f>
        <v>2</v>
      </c>
      <c r="H70" s="221" t="n">
        <f aca="false">MAX(0,H68-H69)</f>
        <v>2</v>
      </c>
      <c r="I70" s="221" t="n">
        <f aca="false">MAX(0,I68-I69)</f>
        <v>2</v>
      </c>
      <c r="J70" s="221" t="n">
        <f aca="false">MAX(0,J68-J69)</f>
        <v>2</v>
      </c>
      <c r="K70" s="221" t="n">
        <f aca="false">MAX(0,K68-K69)</f>
        <v>2</v>
      </c>
      <c r="L70" s="221" t="n">
        <f aca="false">MAX(0,L68-L69)</f>
        <v>3</v>
      </c>
      <c r="M70" s="221" t="n">
        <f aca="false">MAX(0,M68-M69)</f>
        <v>3</v>
      </c>
      <c r="N70" s="221" t="n">
        <f aca="false">MAX(0,N68-N69)</f>
        <v>3</v>
      </c>
      <c r="O70" s="221" t="n">
        <f aca="false">MAX(0,O68-O69)</f>
        <v>3</v>
      </c>
      <c r="P70" s="221" t="n">
        <f aca="false">MAX(0,P68-P69)</f>
        <v>4</v>
      </c>
      <c r="Q70" s="221" t="n">
        <f aca="false">MAX(0,Q68-Q69)</f>
        <v>4</v>
      </c>
      <c r="R70" s="222" t="n">
        <f aca="false">AVERAGE(B70:E70)</f>
        <v>1.5</v>
      </c>
      <c r="S70" s="222" t="n">
        <f aca="false">AVERAGE(F70:Q70)</f>
        <v>2.66666666666667</v>
      </c>
      <c r="T70" s="184"/>
    </row>
    <row r="71" customFormat="false" ht="14.25" hidden="false" customHeight="true" outlineLevel="0" collapsed="false">
      <c r="A71" s="183" t="s">
        <v>2766</v>
      </c>
      <c r="B71" s="221" t="n">
        <f aca="false">B69+B70</f>
        <v>1</v>
      </c>
      <c r="C71" s="221" t="n">
        <f aca="false">C69+C70</f>
        <v>1</v>
      </c>
      <c r="D71" s="221" t="n">
        <f aca="false">D69+D70</f>
        <v>2</v>
      </c>
      <c r="E71" s="221" t="n">
        <f aca="false">E69+E70</f>
        <v>2</v>
      </c>
      <c r="F71" s="221" t="n">
        <f aca="false">F69+F70</f>
        <v>2</v>
      </c>
      <c r="G71" s="221" t="n">
        <f aca="false">G69+G70</f>
        <v>2</v>
      </c>
      <c r="H71" s="221" t="n">
        <f aca="false">H69+H70</f>
        <v>2</v>
      </c>
      <c r="I71" s="221" t="n">
        <f aca="false">I69+I70</f>
        <v>2</v>
      </c>
      <c r="J71" s="221" t="n">
        <f aca="false">J69+J70</f>
        <v>2</v>
      </c>
      <c r="K71" s="221" t="n">
        <f aca="false">K69+K70</f>
        <v>2</v>
      </c>
      <c r="L71" s="221" t="n">
        <f aca="false">L69+L70</f>
        <v>3</v>
      </c>
      <c r="M71" s="221" t="n">
        <f aca="false">M69+M70</f>
        <v>3</v>
      </c>
      <c r="N71" s="221" t="n">
        <f aca="false">N69+N70</f>
        <v>3</v>
      </c>
      <c r="O71" s="221" t="n">
        <f aca="false">O69+O70</f>
        <v>3</v>
      </c>
      <c r="P71" s="221" t="n">
        <f aca="false">P69+P70</f>
        <v>4</v>
      </c>
      <c r="Q71" s="221" t="n">
        <f aca="false">Q69+Q70</f>
        <v>4</v>
      </c>
      <c r="R71" s="222" t="n">
        <f aca="false">AVERAGE(B71:E71)</f>
        <v>1.5</v>
      </c>
      <c r="S71" s="222" t="n">
        <f aca="false">AVERAGE(F71:Q71)</f>
        <v>2.66666666666667</v>
      </c>
      <c r="T71" s="184" t="s">
        <v>2767</v>
      </c>
    </row>
    <row r="72" customFormat="false" ht="14.25" hidden="false" customHeight="true" outlineLevel="0" collapsed="false">
      <c r="A72" s="183" t="s">
        <v>2666</v>
      </c>
      <c r="B72" s="223" t="n">
        <f aca="false">B71*$H$5/12+IF(B$24&gt;=$M$6,MIN(B71,INDEX($B71:$Q71,IFERROR(MATCH(EOMONTH($M$6,-$M$9-1),$B$24:$Q$24,0),1)))*$H$5/12*$M$5,0)</f>
        <v>6250</v>
      </c>
      <c r="C72" s="223" t="n">
        <f aca="false">C71*$H$5/12+IF(C$24&gt;=$M$6,MIN(C71,INDEX($B71:$Q71,IFERROR(MATCH(EOMONTH($M$6,-$M$9-1),$B$24:$Q$24,0),1)))*$H$5/12*$M$5,0)</f>
        <v>6250</v>
      </c>
      <c r="D72" s="223" t="n">
        <f aca="false">D71*$H$5/12+IF(D$24&gt;=$M$6,MIN(D71,INDEX($B71:$Q71,IFERROR(MATCH(EOMONTH($M$6,-$M$9-1),$B$24:$Q$24,0),1)))*$H$5/12*$M$5,0)</f>
        <v>12500</v>
      </c>
      <c r="E72" s="223" t="n">
        <f aca="false">E71*$H$5/12+IF(E$24&gt;=$M$6,MIN(E71,INDEX($B71:$Q71,IFERROR(MATCH(EOMONTH($M$6,-$M$9-1),$B$24:$Q$24,0),1)))*$H$5/12*$M$5,0)</f>
        <v>12500</v>
      </c>
      <c r="F72" s="223" t="n">
        <f aca="false">F71*$H$5/12+IF(F$24&gt;=$M$6,MIN(F71,INDEX($B71:$Q71,IFERROR(MATCH(EOMONTH($M$6,-$M$9-1),$B$24:$Q$24,0),1)))*$H$5/12*$M$5,0)</f>
        <v>12500</v>
      </c>
      <c r="G72" s="223" t="n">
        <f aca="false">G71*$H$5/12+IF(G$24&gt;=$M$6,MIN(G71,INDEX($B71:$Q71,IFERROR(MATCH(EOMONTH($M$6,-$M$9-1),$B$24:$Q$24,0),1)))*$H$5/12*$M$5,0)</f>
        <v>12500</v>
      </c>
      <c r="H72" s="223" t="n">
        <f aca="false">H71*$H$5/12+IF(H$24&gt;=$M$6,MIN(H71,INDEX($B71:$Q71,IFERROR(MATCH(EOMONTH($M$6,-$M$9-1),$B$24:$Q$24,0),1)))*$H$5/12*$M$5,0)</f>
        <v>12500</v>
      </c>
      <c r="I72" s="223" t="n">
        <f aca="false">I71*$H$5/12+IF(I$24&gt;=$M$6,MIN(I71,INDEX($B71:$Q71,IFERROR(MATCH(EOMONTH($M$6,-$M$9-1),$B$24:$Q$24,0),1)))*$H$5/12*$M$5,0)</f>
        <v>12500</v>
      </c>
      <c r="J72" s="223" t="n">
        <f aca="false">J71*$H$5/12+IF(J$24&gt;=$M$6,MIN(J71,INDEX($B71:$Q71,IFERROR(MATCH(EOMONTH($M$6,-$M$9-1),$B$24:$Q$24,0),1)))*$H$5/12*$M$5,0)</f>
        <v>12500</v>
      </c>
      <c r="K72" s="223" t="n">
        <f aca="false">K71*$H$5/12+IF(K$24&gt;=$M$6,MIN(K71,INDEX($B71:$Q71,IFERROR(MATCH(EOMONTH($M$6,-$M$9-1),$B$24:$Q$24,0),1)))*$H$5/12*$M$5,0)</f>
        <v>12500</v>
      </c>
      <c r="L72" s="223" t="n">
        <f aca="false">L71*$H$5/12+IF(L$24&gt;=$M$6,MIN(L71,INDEX($B71:$Q71,IFERROR(MATCH(EOMONTH($M$6,-$M$9-1),$B$24:$Q$24,0),1)))*$H$5/12*$M$5,0)</f>
        <v>18750</v>
      </c>
      <c r="M72" s="223" t="n">
        <f aca="false">M71*$H$5/12+IF(M$24&gt;=$M$6,MIN(M71,INDEX($B71:$Q71,IFERROR(MATCH(EOMONTH($M$6,-$M$9-1),$B$24:$Q$24,0),1)))*$H$5/12*$M$5,0)</f>
        <v>18750</v>
      </c>
      <c r="N72" s="223" t="n">
        <f aca="false">N71*$H$5/12+IF(N$24&gt;=$M$6,MIN(N71,INDEX($B71:$Q71,IFERROR(MATCH(EOMONTH($M$6,-$M$9-1),$B$24:$Q$24,0),1)))*$H$5/12*$M$5,0)</f>
        <v>18750</v>
      </c>
      <c r="O72" s="223" t="n">
        <f aca="false">O71*$H$5/12+IF(O$24&gt;=$M$6,MIN(O71,INDEX($B71:$Q71,IFERROR(MATCH(EOMONTH($M$6,-$M$9-1),$B$24:$Q$24,0),1)))*$H$5/12*$M$5,0)</f>
        <v>19125</v>
      </c>
      <c r="P72" s="223" t="n">
        <f aca="false">P71*$H$5/12+IF(P$24&gt;=$M$6,MIN(P71,INDEX($B71:$Q71,IFERROR(MATCH(EOMONTH($M$6,-$M$9-1),$B$24:$Q$24,0),1)))*$H$5/12*$M$5,0)</f>
        <v>25375</v>
      </c>
      <c r="Q72" s="223" t="n">
        <f aca="false">Q71*$H$5/12+IF(Q$24&gt;=$M$6,MIN(Q71,INDEX($B71:$Q71,IFERROR(MATCH(EOMONTH($M$6,-$M$9-1),$B$24:$Q$24,0),1)))*$H$5/12*$M$5,0)</f>
        <v>25375</v>
      </c>
      <c r="R72" s="224" t="n">
        <f aca="false">SUM(B72:E72)</f>
        <v>37500</v>
      </c>
      <c r="S72" s="224" t="n">
        <f aca="false">SUM(F72:Q72)</f>
        <v>201125</v>
      </c>
    </row>
    <row r="73" customFormat="false" ht="14.25" hidden="false" customHeight="true" outlineLevel="0" collapsed="false">
      <c r="A73" s="183" t="s">
        <v>2748</v>
      </c>
      <c r="B73" s="225" t="n">
        <v>0</v>
      </c>
      <c r="C73" s="225" t="n">
        <v>0</v>
      </c>
      <c r="D73" s="225" t="n">
        <v>0</v>
      </c>
      <c r="E73" s="225" t="n">
        <v>0</v>
      </c>
      <c r="F73" s="225" t="n">
        <v>0</v>
      </c>
      <c r="G73" s="225" t="n">
        <v>0</v>
      </c>
      <c r="H73" s="225" t="n">
        <v>0</v>
      </c>
      <c r="I73" s="225" t="n">
        <v>0</v>
      </c>
      <c r="J73" s="225" t="n">
        <v>0</v>
      </c>
      <c r="K73" s="225" t="n">
        <v>0</v>
      </c>
      <c r="L73" s="225" t="n">
        <v>0</v>
      </c>
      <c r="M73" s="225" t="n">
        <v>0</v>
      </c>
      <c r="N73" s="225" t="n">
        <v>0</v>
      </c>
      <c r="O73" s="225" t="n">
        <v>0</v>
      </c>
      <c r="P73" s="225" t="n">
        <v>0</v>
      </c>
      <c r="Q73" s="225" t="n">
        <v>0</v>
      </c>
      <c r="R73" s="226" t="n">
        <f aca="false">IFERROR(R74/R72,0)</f>
        <v>0</v>
      </c>
      <c r="S73" s="226" t="n">
        <f aca="false">IFERROR(S74/S72,0)</f>
        <v>0</v>
      </c>
      <c r="T73" s="184" t="s">
        <v>2749</v>
      </c>
    </row>
    <row r="74" customFormat="false" ht="14.25" hidden="false" customHeight="true" outlineLevel="0" collapsed="false">
      <c r="A74" s="183" t="s">
        <v>2750</v>
      </c>
      <c r="B74" s="223" t="n">
        <f aca="false">B72*B73</f>
        <v>0</v>
      </c>
      <c r="C74" s="223" t="n">
        <f aca="false">C72*C73</f>
        <v>0</v>
      </c>
      <c r="D74" s="223" t="n">
        <f aca="false">D72*D73</f>
        <v>0</v>
      </c>
      <c r="E74" s="223" t="n">
        <f aca="false">E72*E73</f>
        <v>0</v>
      </c>
      <c r="F74" s="223" t="n">
        <f aca="false">F72*F73</f>
        <v>0</v>
      </c>
      <c r="G74" s="223" t="n">
        <f aca="false">G72*G73</f>
        <v>0</v>
      </c>
      <c r="H74" s="223" t="n">
        <f aca="false">H72*H73</f>
        <v>0</v>
      </c>
      <c r="I74" s="223" t="n">
        <f aca="false">I72*I73</f>
        <v>0</v>
      </c>
      <c r="J74" s="223" t="n">
        <f aca="false">J72*J73</f>
        <v>0</v>
      </c>
      <c r="K74" s="223" t="n">
        <f aca="false">K72*K73</f>
        <v>0</v>
      </c>
      <c r="L74" s="223" t="n">
        <f aca="false">L72*L73</f>
        <v>0</v>
      </c>
      <c r="M74" s="223" t="n">
        <f aca="false">M72*M73</f>
        <v>0</v>
      </c>
      <c r="N74" s="223" t="n">
        <f aca="false">N72*N73</f>
        <v>0</v>
      </c>
      <c r="O74" s="223" t="n">
        <f aca="false">O72*O73</f>
        <v>0</v>
      </c>
      <c r="P74" s="223" t="n">
        <f aca="false">P72*P73</f>
        <v>0</v>
      </c>
      <c r="Q74" s="223" t="n">
        <f aca="false">Q72*Q73</f>
        <v>0</v>
      </c>
      <c r="R74" s="224" t="n">
        <f aca="false">SUM(B74:E74)</f>
        <v>0</v>
      </c>
      <c r="S74" s="224" t="n">
        <f aca="false">SUM(F74:Q74)</f>
        <v>0</v>
      </c>
    </row>
    <row r="75" customFormat="false" ht="14.25" hidden="false" customHeight="true" outlineLevel="0" collapsed="false">
      <c r="A75" s="183" t="s">
        <v>2667</v>
      </c>
      <c r="B75" s="223" t="n">
        <f aca="false">(B72+B74)*$H$6</f>
        <v>468.75</v>
      </c>
      <c r="C75" s="223" t="n">
        <f aca="false">(C72+C74)*$H$6</f>
        <v>468.75</v>
      </c>
      <c r="D75" s="223" t="n">
        <f aca="false">(D72+D74)*$H$6</f>
        <v>937.5</v>
      </c>
      <c r="E75" s="223" t="n">
        <f aca="false">(E72+E74)*$H$6</f>
        <v>937.5</v>
      </c>
      <c r="F75" s="223" t="n">
        <f aca="false">(F72+F74)*$H$6</f>
        <v>937.5</v>
      </c>
      <c r="G75" s="223" t="n">
        <f aca="false">(G72+G74)*$H$6</f>
        <v>937.5</v>
      </c>
      <c r="H75" s="223" t="n">
        <f aca="false">(H72+H74)*$H$6</f>
        <v>937.5</v>
      </c>
      <c r="I75" s="223" t="n">
        <f aca="false">(I72+I74)*$H$6</f>
        <v>937.5</v>
      </c>
      <c r="J75" s="223" t="n">
        <f aca="false">(J72+J74)*$H$6</f>
        <v>937.5</v>
      </c>
      <c r="K75" s="223" t="n">
        <f aca="false">(K72+K74)*$H$6</f>
        <v>937.5</v>
      </c>
      <c r="L75" s="223" t="n">
        <f aca="false">(L72+L74)*$H$6</f>
        <v>1406.25</v>
      </c>
      <c r="M75" s="223" t="n">
        <f aca="false">(M72+M74)*$H$6</f>
        <v>1406.25</v>
      </c>
      <c r="N75" s="223" t="n">
        <f aca="false">(N72+N74)*$H$6</f>
        <v>1406.25</v>
      </c>
      <c r="O75" s="223" t="n">
        <f aca="false">(O72+O74)*$H$6</f>
        <v>1434.375</v>
      </c>
      <c r="P75" s="223" t="n">
        <f aca="false">(P72+P74)*$H$6</f>
        <v>1903.125</v>
      </c>
      <c r="Q75" s="223" t="n">
        <f aca="false">(Q72+Q74)*$H$6</f>
        <v>1903.125</v>
      </c>
      <c r="R75" s="224" t="n">
        <f aca="false">SUM(B75:E75)</f>
        <v>2812.5</v>
      </c>
      <c r="S75" s="224" t="n">
        <f aca="false">SUM(F75:Q75)</f>
        <v>15084.375</v>
      </c>
    </row>
    <row r="76" customFormat="false" ht="14.25" hidden="false" customHeight="true" outlineLevel="0" collapsed="false">
      <c r="A76" s="183" t="s">
        <v>2289</v>
      </c>
      <c r="B76" s="223" t="n">
        <f aca="false">B72*$H$7</f>
        <v>468.75</v>
      </c>
      <c r="C76" s="223" t="n">
        <f aca="false">C72*$H$7</f>
        <v>468.75</v>
      </c>
      <c r="D76" s="223" t="n">
        <f aca="false">D72*$H$7</f>
        <v>937.5</v>
      </c>
      <c r="E76" s="223" t="n">
        <f aca="false">E72*$H$7</f>
        <v>937.5</v>
      </c>
      <c r="F76" s="223" t="n">
        <f aca="false">F72*$H$7</f>
        <v>937.5</v>
      </c>
      <c r="G76" s="223" t="n">
        <f aca="false">G72*$H$7</f>
        <v>937.5</v>
      </c>
      <c r="H76" s="223" t="n">
        <f aca="false">H72*$H$7</f>
        <v>937.5</v>
      </c>
      <c r="I76" s="223" t="n">
        <f aca="false">I72*$H$7</f>
        <v>937.5</v>
      </c>
      <c r="J76" s="223" t="n">
        <f aca="false">J72*$H$7</f>
        <v>937.5</v>
      </c>
      <c r="K76" s="223" t="n">
        <f aca="false">K72*$H$7</f>
        <v>937.5</v>
      </c>
      <c r="L76" s="223" t="n">
        <f aca="false">L72*$H$7</f>
        <v>1406.25</v>
      </c>
      <c r="M76" s="223" t="n">
        <f aca="false">M72*$H$7</f>
        <v>1406.25</v>
      </c>
      <c r="N76" s="223" t="n">
        <f aca="false">N72*$H$7</f>
        <v>1406.25</v>
      </c>
      <c r="O76" s="223" t="n">
        <f aca="false">O72*$H$7</f>
        <v>1434.375</v>
      </c>
      <c r="P76" s="223" t="n">
        <f aca="false">P72*$H$7</f>
        <v>1903.125</v>
      </c>
      <c r="Q76" s="223" t="n">
        <f aca="false">Q72*$H$7</f>
        <v>1903.125</v>
      </c>
      <c r="R76" s="224" t="n">
        <f aca="false">SUM(B76:E76)</f>
        <v>2812.5</v>
      </c>
      <c r="S76" s="224" t="n">
        <f aca="false">SUM(F76:Q76)</f>
        <v>15084.375</v>
      </c>
    </row>
    <row r="77" customFormat="false" ht="14.25" hidden="false" customHeight="true" outlineLevel="0" collapsed="false">
      <c r="A77" s="183" t="s">
        <v>2768</v>
      </c>
      <c r="B77" s="221" t="n">
        <f aca="false">B70</f>
        <v>1</v>
      </c>
      <c r="C77" s="221" t="n">
        <f aca="false">MAX(0,C70-B70)</f>
        <v>0</v>
      </c>
      <c r="D77" s="221" t="n">
        <f aca="false">MAX(0,D70-C70)</f>
        <v>1</v>
      </c>
      <c r="E77" s="221" t="n">
        <f aca="false">MAX(0,E70-D70)</f>
        <v>0</v>
      </c>
      <c r="F77" s="221" t="n">
        <f aca="false">MAX(0,F70-E70)</f>
        <v>0</v>
      </c>
      <c r="G77" s="221" t="n">
        <f aca="false">MAX(0,G70-F70)</f>
        <v>0</v>
      </c>
      <c r="H77" s="221" t="n">
        <f aca="false">MAX(0,H70-G70)</f>
        <v>0</v>
      </c>
      <c r="I77" s="221" t="n">
        <f aca="false">MAX(0,I70-H70)</f>
        <v>0</v>
      </c>
      <c r="J77" s="221" t="n">
        <f aca="false">MAX(0,J70-I70)</f>
        <v>0</v>
      </c>
      <c r="K77" s="221" t="n">
        <f aca="false">MAX(0,K70-J70)</f>
        <v>0</v>
      </c>
      <c r="L77" s="221" t="n">
        <f aca="false">MAX(0,L70-K70)</f>
        <v>1</v>
      </c>
      <c r="M77" s="221" t="n">
        <f aca="false">MAX(0,M70-L70)</f>
        <v>0</v>
      </c>
      <c r="N77" s="221" t="n">
        <f aca="false">MAX(0,N70-M70)</f>
        <v>0</v>
      </c>
      <c r="O77" s="221" t="n">
        <f aca="false">MAX(0,O70-N70)</f>
        <v>0</v>
      </c>
      <c r="P77" s="221" t="n">
        <f aca="false">MAX(0,P70-O70)</f>
        <v>1</v>
      </c>
      <c r="Q77" s="221" t="n">
        <f aca="false">MAX(0,Q70-P70)</f>
        <v>0</v>
      </c>
      <c r="R77" s="222" t="n">
        <f aca="false">SUM(B77:E77)</f>
        <v>2</v>
      </c>
      <c r="S77" s="222" t="n">
        <f aca="false">SUM(F77:Q77)</f>
        <v>2</v>
      </c>
      <c r="T77" s="184"/>
    </row>
    <row r="78" customFormat="false" ht="14.25" hidden="false" customHeight="true" outlineLevel="0" collapsed="false">
      <c r="A78" s="183" t="s">
        <v>2674</v>
      </c>
      <c r="B78" s="223" t="n">
        <f aca="false">B77*$M$8</f>
        <v>5000</v>
      </c>
      <c r="C78" s="223" t="n">
        <f aca="false">C77*$M$8</f>
        <v>0</v>
      </c>
      <c r="D78" s="223" t="n">
        <f aca="false">D77*$M$8</f>
        <v>5000</v>
      </c>
      <c r="E78" s="223" t="n">
        <f aca="false">E77*$M$8</f>
        <v>0</v>
      </c>
      <c r="F78" s="223" t="n">
        <f aca="false">F77*$M$8</f>
        <v>0</v>
      </c>
      <c r="G78" s="223" t="n">
        <f aca="false">G77*$M$8</f>
        <v>0</v>
      </c>
      <c r="H78" s="223" t="n">
        <f aca="false">H77*$M$8</f>
        <v>0</v>
      </c>
      <c r="I78" s="223" t="n">
        <f aca="false">I77*$M$8</f>
        <v>0</v>
      </c>
      <c r="J78" s="223" t="n">
        <f aca="false">J77*$M$8</f>
        <v>0</v>
      </c>
      <c r="K78" s="223" t="n">
        <f aca="false">K77*$M$8</f>
        <v>0</v>
      </c>
      <c r="L78" s="223" t="n">
        <f aca="false">L77*$M$8</f>
        <v>5000</v>
      </c>
      <c r="M78" s="223" t="n">
        <f aca="false">M77*$M$8</f>
        <v>0</v>
      </c>
      <c r="N78" s="223" t="n">
        <f aca="false">N77*$M$8</f>
        <v>0</v>
      </c>
      <c r="O78" s="223" t="n">
        <f aca="false">O77*$M$8</f>
        <v>0</v>
      </c>
      <c r="P78" s="223" t="n">
        <f aca="false">P77*$M$8</f>
        <v>5000</v>
      </c>
      <c r="Q78" s="223" t="n">
        <f aca="false">Q77*$M$8</f>
        <v>0</v>
      </c>
      <c r="R78" s="224" t="n">
        <f aca="false">SUM(B78:E78)</f>
        <v>10000</v>
      </c>
      <c r="S78" s="224" t="n">
        <f aca="false">SUM(F78:Q78)</f>
        <v>10000</v>
      </c>
    </row>
    <row r="79" customFormat="false" ht="14.25" hidden="false" customHeight="true" outlineLevel="0" collapsed="false">
      <c r="A79" s="227" t="s">
        <v>2769</v>
      </c>
      <c r="B79" s="228" t="n">
        <f aca="false">B72+B74+B75+B76+B78</f>
        <v>12187.5</v>
      </c>
      <c r="C79" s="228" t="n">
        <f aca="false">C72+C74+C75+C76+C78</f>
        <v>7187.5</v>
      </c>
      <c r="D79" s="228" t="n">
        <f aca="false">D72+D74+D75+D76+D78</f>
        <v>19375</v>
      </c>
      <c r="E79" s="228" t="n">
        <f aca="false">E72+E74+E75+E76+E78</f>
        <v>14375</v>
      </c>
      <c r="F79" s="228" t="n">
        <f aca="false">F72+F74+F75+F76+F78</f>
        <v>14375</v>
      </c>
      <c r="G79" s="228" t="n">
        <f aca="false">G72+G74+G75+G76+G78</f>
        <v>14375</v>
      </c>
      <c r="H79" s="228" t="n">
        <f aca="false">H72+H74+H75+H76+H78</f>
        <v>14375</v>
      </c>
      <c r="I79" s="228" t="n">
        <f aca="false">I72+I74+I75+I76+I78</f>
        <v>14375</v>
      </c>
      <c r="J79" s="228" t="n">
        <f aca="false">J72+J74+J75+J76+J78</f>
        <v>14375</v>
      </c>
      <c r="K79" s="228" t="n">
        <f aca="false">K72+K74+K75+K76+K78</f>
        <v>14375</v>
      </c>
      <c r="L79" s="228" t="n">
        <f aca="false">L72+L74+L75+L76+L78</f>
        <v>26562.5</v>
      </c>
      <c r="M79" s="228" t="n">
        <f aca="false">M72+M74+M75+M76+M78</f>
        <v>21562.5</v>
      </c>
      <c r="N79" s="228" t="n">
        <f aca="false">N72+N74+N75+N76+N78</f>
        <v>21562.5</v>
      </c>
      <c r="O79" s="228" t="n">
        <f aca="false">O72+O74+O75+O76+O78</f>
        <v>21993.75</v>
      </c>
      <c r="P79" s="228" t="n">
        <f aca="false">P72+P74+P75+P76+P78</f>
        <v>34181.25</v>
      </c>
      <c r="Q79" s="228" t="n">
        <f aca="false">Q72+Q74+Q75+Q76+Q78</f>
        <v>29181.25</v>
      </c>
      <c r="R79" s="229" t="n">
        <f aca="false">SUM(B79:E79)</f>
        <v>53125</v>
      </c>
      <c r="S79" s="229" t="n">
        <f aca="false">SUM(F79:Q79)</f>
        <v>241293.75</v>
      </c>
    </row>
    <row r="80" customFormat="false" ht="14.25" hidden="false" customHeight="true" outlineLevel="0" collapsed="false"/>
    <row r="81" customFormat="false" ht="14.25" hidden="false" customHeight="true" outlineLevel="0" collapsed="false">
      <c r="A81" s="232" t="s">
        <v>2770</v>
      </c>
      <c r="B81" s="233" t="n">
        <f aca="false">B41+B62+B79</f>
        <v>90851.44287625</v>
      </c>
      <c r="C81" s="233" t="n">
        <f aca="false">C41+C62+C79</f>
        <v>81851.44287625</v>
      </c>
      <c r="D81" s="233" t="n">
        <f aca="false">D41+D62+D79</f>
        <v>155878.682579</v>
      </c>
      <c r="E81" s="233" t="n">
        <f aca="false">E41+E62+E79</f>
        <v>144133.317962</v>
      </c>
      <c r="F81" s="233" t="n">
        <f aca="false">F41+F62+F79</f>
        <v>140751.3648875</v>
      </c>
      <c r="G81" s="233" t="n">
        <f aca="false">G41+G62+G79</f>
        <v>181250.14625</v>
      </c>
      <c r="H81" s="233" t="n">
        <f aca="false">H41+H62+H79</f>
        <v>175250.14625</v>
      </c>
      <c r="I81" s="233" t="n">
        <f aca="false">I41+I62+I79</f>
        <v>175250.14625</v>
      </c>
      <c r="J81" s="233" t="n">
        <f aca="false">J41+J62+J79</f>
        <v>176684.914221</v>
      </c>
      <c r="K81" s="233" t="n">
        <f aca="false">K41+K62+K79</f>
        <v>178119.682192</v>
      </c>
      <c r="L81" s="233" t="n">
        <f aca="false">L41+L62+L79</f>
        <v>212416.766231</v>
      </c>
      <c r="M81" s="233" t="n">
        <f aca="false">M41+M62+M79</f>
        <v>202828.27312025</v>
      </c>
      <c r="N81" s="233" t="n">
        <f aca="false">N41+N62+N79</f>
        <v>240150.06826125</v>
      </c>
      <c r="O81" s="233" t="n">
        <f aca="false">O41+O62+O79</f>
        <v>259621.2132975</v>
      </c>
      <c r="P81" s="233" t="n">
        <f aca="false">P41+P62+P79</f>
        <v>318496.77843813</v>
      </c>
      <c r="Q81" s="233" t="n">
        <f aca="false">Q41+Q62+Q79</f>
        <v>332074.40162989</v>
      </c>
      <c r="R81" s="233" t="n">
        <f aca="false">SUM(B81:E81)</f>
        <v>472714.8862935</v>
      </c>
      <c r="S81" s="233"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3" width="41.38"/>
    <col collapsed="false" customWidth="true" hidden="false" outlineLevel="0" max="15" min="15" style="3" width="10.13"/>
  </cols>
  <sheetData>
    <row r="1" customFormat="false" ht="15" hidden="false" customHeight="true" outlineLevel="0" collapsed="false">
      <c r="A1" s="234" t="s">
        <v>2771</v>
      </c>
      <c r="B1" s="235"/>
      <c r="C1" s="235"/>
      <c r="D1" s="235"/>
      <c r="E1" s="235"/>
      <c r="F1" s="235"/>
      <c r="G1" s="235"/>
      <c r="H1" s="235"/>
      <c r="I1" s="235"/>
      <c r="J1" s="235"/>
      <c r="K1" s="235"/>
      <c r="L1" s="235"/>
      <c r="M1" s="235"/>
      <c r="N1" s="235"/>
      <c r="O1" s="235"/>
    </row>
    <row r="2" customFormat="false" ht="48" hidden="false" customHeight="true" outlineLevel="0" collapsed="false">
      <c r="A2" s="236" t="s">
        <v>2772</v>
      </c>
      <c r="B2" s="237" t="s">
        <v>2773</v>
      </c>
      <c r="C2" s="237"/>
      <c r="D2" s="237"/>
      <c r="E2" s="237"/>
      <c r="F2" s="237"/>
      <c r="G2" s="237"/>
      <c r="H2" s="237"/>
      <c r="I2" s="237"/>
      <c r="J2" s="237"/>
      <c r="K2" s="237"/>
      <c r="L2" s="237"/>
      <c r="M2" s="237"/>
      <c r="N2" s="237"/>
      <c r="O2" s="235"/>
    </row>
    <row r="3" customFormat="false" ht="15" hidden="false" customHeight="true" outlineLevel="0" collapsed="false">
      <c r="A3" s="235"/>
      <c r="B3" s="235"/>
      <c r="C3" s="235"/>
      <c r="D3" s="235"/>
      <c r="E3" s="235"/>
      <c r="F3" s="235"/>
      <c r="G3" s="235"/>
      <c r="H3" s="235"/>
      <c r="I3" s="235"/>
      <c r="J3" s="235"/>
      <c r="K3" s="235"/>
      <c r="L3" s="235"/>
      <c r="M3" s="235"/>
      <c r="N3" s="235"/>
      <c r="O3" s="235"/>
    </row>
    <row r="4" customFormat="false" ht="27" hidden="false" customHeight="true" outlineLevel="0" collapsed="false">
      <c r="A4" s="238" t="s">
        <v>2774</v>
      </c>
      <c r="B4" s="238" t="s">
        <v>305</v>
      </c>
      <c r="C4" s="238" t="s">
        <v>2372</v>
      </c>
      <c r="D4" s="238" t="s">
        <v>2775</v>
      </c>
      <c r="E4" s="238"/>
      <c r="F4" s="238"/>
      <c r="G4" s="238"/>
      <c r="H4" s="238"/>
      <c r="I4" s="238"/>
      <c r="J4" s="238"/>
      <c r="K4" s="238"/>
      <c r="L4" s="238"/>
      <c r="M4" s="238"/>
      <c r="N4" s="238"/>
      <c r="O4" s="238"/>
    </row>
    <row r="5" customFormat="false" ht="15" hidden="false" customHeight="true" outlineLevel="0" collapsed="false">
      <c r="A5" s="235" t="s">
        <v>2776</v>
      </c>
      <c r="B5" s="239" t="n">
        <v>2533</v>
      </c>
      <c r="C5" s="235" t="s">
        <v>2777</v>
      </c>
      <c r="D5" s="235" t="s">
        <v>2778</v>
      </c>
      <c r="E5" s="235"/>
      <c r="F5" s="235"/>
      <c r="G5" s="235"/>
      <c r="H5" s="235"/>
      <c r="I5" s="235"/>
      <c r="J5" s="235"/>
      <c r="K5" s="235"/>
      <c r="L5" s="235"/>
      <c r="M5" s="235"/>
      <c r="N5" s="235"/>
      <c r="O5" s="235"/>
    </row>
    <row r="6" customFormat="false" ht="15" hidden="false" customHeight="true" outlineLevel="0" collapsed="false">
      <c r="A6" s="235" t="s">
        <v>2779</v>
      </c>
      <c r="B6" s="240" t="n">
        <v>0.3</v>
      </c>
      <c r="C6" s="235" t="s">
        <v>2389</v>
      </c>
      <c r="D6" s="235" t="s">
        <v>2780</v>
      </c>
      <c r="E6" s="235"/>
      <c r="F6" s="235"/>
      <c r="G6" s="235"/>
      <c r="H6" s="235"/>
      <c r="I6" s="235"/>
      <c r="J6" s="235"/>
      <c r="K6" s="235"/>
      <c r="L6" s="235"/>
      <c r="M6" s="235"/>
      <c r="N6" s="235"/>
      <c r="O6" s="235"/>
    </row>
    <row r="7" customFormat="false" ht="15" hidden="false" customHeight="true" outlineLevel="0" collapsed="false">
      <c r="A7" s="235" t="s">
        <v>2781</v>
      </c>
      <c r="B7" s="239" t="n">
        <v>3992</v>
      </c>
      <c r="C7" s="235" t="s">
        <v>2782</v>
      </c>
      <c r="D7" s="235" t="s">
        <v>2783</v>
      </c>
      <c r="E7" s="235"/>
      <c r="F7" s="235"/>
      <c r="G7" s="235"/>
      <c r="H7" s="235"/>
      <c r="I7" s="235"/>
      <c r="J7" s="235"/>
      <c r="K7" s="235"/>
      <c r="L7" s="235"/>
      <c r="M7" s="235"/>
      <c r="N7" s="235"/>
      <c r="O7" s="235"/>
    </row>
    <row r="8" customFormat="false" ht="15" hidden="false" customHeight="true" outlineLevel="0" collapsed="false">
      <c r="A8" s="235" t="s">
        <v>2784</v>
      </c>
      <c r="B8" s="239" t="n">
        <v>4500</v>
      </c>
      <c r="C8" s="235" t="s">
        <v>2785</v>
      </c>
      <c r="D8" s="235" t="s">
        <v>2786</v>
      </c>
      <c r="E8" s="235"/>
      <c r="F8" s="235"/>
      <c r="G8" s="235"/>
      <c r="H8" s="235"/>
      <c r="I8" s="235"/>
      <c r="J8" s="235"/>
      <c r="K8" s="235"/>
      <c r="L8" s="235"/>
      <c r="M8" s="235"/>
      <c r="N8" s="235"/>
      <c r="O8" s="235"/>
    </row>
    <row r="9" customFormat="false" ht="15" hidden="false" customHeight="true" outlineLevel="0" collapsed="false">
      <c r="A9" s="235" t="s">
        <v>2787</v>
      </c>
      <c r="B9" s="241" t="n">
        <v>27.58</v>
      </c>
      <c r="C9" s="235" t="s">
        <v>2788</v>
      </c>
      <c r="D9" s="235" t="s">
        <v>2789</v>
      </c>
      <c r="E9" s="235"/>
      <c r="F9" s="235"/>
      <c r="G9" s="235"/>
      <c r="H9" s="235"/>
      <c r="I9" s="235"/>
      <c r="J9" s="235"/>
      <c r="K9" s="235"/>
      <c r="L9" s="235"/>
      <c r="M9" s="235"/>
      <c r="N9" s="235"/>
      <c r="O9" s="235"/>
    </row>
    <row r="10" customFormat="false" ht="15" hidden="false" customHeight="true" outlineLevel="0" collapsed="false">
      <c r="A10" s="235" t="s">
        <v>2790</v>
      </c>
      <c r="B10" s="239" t="n">
        <v>4130</v>
      </c>
      <c r="C10" s="235" t="s">
        <v>2791</v>
      </c>
      <c r="D10" s="235" t="s">
        <v>2792</v>
      </c>
      <c r="E10" s="235"/>
      <c r="F10" s="235"/>
      <c r="G10" s="235"/>
      <c r="H10" s="235"/>
      <c r="I10" s="235"/>
      <c r="J10" s="235"/>
      <c r="K10" s="235"/>
      <c r="L10" s="235"/>
      <c r="M10" s="235"/>
      <c r="N10" s="235"/>
      <c r="O10" s="235"/>
    </row>
    <row r="11" customFormat="false" ht="15" hidden="false" customHeight="true" outlineLevel="0" collapsed="false">
      <c r="A11" s="235" t="s">
        <v>2793</v>
      </c>
      <c r="B11" s="239" t="n">
        <v>8704</v>
      </c>
      <c r="C11" s="235" t="s">
        <v>2782</v>
      </c>
      <c r="D11" s="235" t="s">
        <v>2794</v>
      </c>
      <c r="E11" s="235"/>
      <c r="F11" s="235"/>
      <c r="G11" s="235"/>
      <c r="H11" s="235"/>
      <c r="I11" s="235"/>
      <c r="J11" s="235"/>
      <c r="K11" s="235"/>
      <c r="L11" s="235"/>
      <c r="M11" s="235"/>
      <c r="N11" s="235"/>
      <c r="O11" s="235"/>
    </row>
    <row r="12" customFormat="false" ht="15" hidden="false" customHeight="true" outlineLevel="0" collapsed="false">
      <c r="A12" s="235" t="s">
        <v>2795</v>
      </c>
      <c r="B12" s="242" t="n">
        <v>1</v>
      </c>
      <c r="C12" s="235" t="s">
        <v>4</v>
      </c>
      <c r="D12" s="235" t="s">
        <v>2796</v>
      </c>
      <c r="E12" s="235"/>
      <c r="F12" s="235"/>
      <c r="G12" s="235"/>
      <c r="H12" s="235"/>
      <c r="I12" s="235"/>
      <c r="J12" s="235"/>
      <c r="K12" s="235"/>
      <c r="L12" s="235"/>
      <c r="M12" s="235"/>
      <c r="N12" s="235"/>
      <c r="O12" s="235"/>
    </row>
    <row r="13" customFormat="false" ht="15" hidden="false" customHeight="true" outlineLevel="0" collapsed="false">
      <c r="A13" s="235" t="s">
        <v>2797</v>
      </c>
      <c r="B13" s="242" t="n">
        <v>3</v>
      </c>
      <c r="C13" s="235" t="s">
        <v>4</v>
      </c>
      <c r="D13" s="235" t="s">
        <v>2798</v>
      </c>
      <c r="E13" s="235"/>
      <c r="F13" s="235"/>
      <c r="G13" s="235"/>
      <c r="H13" s="235"/>
      <c r="I13" s="235"/>
      <c r="J13" s="235"/>
      <c r="K13" s="235"/>
      <c r="L13" s="235"/>
      <c r="M13" s="235"/>
      <c r="N13" s="235"/>
      <c r="O13" s="235"/>
    </row>
    <row r="14" customFormat="false" ht="15" hidden="false" customHeight="true" outlineLevel="0" collapsed="false">
      <c r="A14" s="235" t="s">
        <v>2799</v>
      </c>
      <c r="B14" s="243" t="n">
        <f aca="false">DATE(2027,3,1)</f>
        <v>46447</v>
      </c>
      <c r="C14" s="235" t="s">
        <v>2800</v>
      </c>
      <c r="D14" s="244" t="n">
        <v>46108</v>
      </c>
      <c r="E14" s="235"/>
      <c r="F14" s="235"/>
      <c r="G14" s="235"/>
      <c r="H14" s="235"/>
      <c r="I14" s="235"/>
      <c r="J14" s="235"/>
      <c r="K14" s="235"/>
      <c r="L14" s="235"/>
      <c r="M14" s="235"/>
      <c r="N14" s="235"/>
      <c r="O14" s="235"/>
    </row>
    <row r="15" customFormat="false" ht="15" hidden="false" customHeight="true" outlineLevel="0" collapsed="false">
      <c r="A15" s="235" t="s">
        <v>2801</v>
      </c>
      <c r="B15" s="242" t="n">
        <v>3</v>
      </c>
      <c r="C15" s="235" t="s">
        <v>4</v>
      </c>
      <c r="D15" s="235" t="s">
        <v>2802</v>
      </c>
      <c r="E15" s="235"/>
      <c r="F15" s="235"/>
      <c r="G15" s="235"/>
      <c r="H15" s="235"/>
      <c r="I15" s="235"/>
      <c r="J15" s="235"/>
      <c r="K15" s="235"/>
      <c r="L15" s="235"/>
      <c r="M15" s="235"/>
      <c r="N15" s="235"/>
      <c r="O15" s="235"/>
    </row>
    <row r="16" customFormat="false" ht="15" hidden="false" customHeight="true" outlineLevel="0" collapsed="false">
      <c r="A16" s="235" t="s">
        <v>2803</v>
      </c>
      <c r="B16" s="239" t="n">
        <v>21114</v>
      </c>
      <c r="C16" s="235" t="s">
        <v>2782</v>
      </c>
      <c r="D16" s="235" t="s">
        <v>2804</v>
      </c>
      <c r="E16" s="235"/>
      <c r="F16" s="235"/>
      <c r="G16" s="235"/>
      <c r="H16" s="235"/>
      <c r="I16" s="235"/>
      <c r="J16" s="235"/>
      <c r="K16" s="235"/>
      <c r="L16" s="235"/>
      <c r="M16" s="235"/>
      <c r="N16" s="235"/>
      <c r="O16" s="235"/>
    </row>
    <row r="17" customFormat="false" ht="15" hidden="false" customHeight="true" outlineLevel="0" collapsed="false">
      <c r="A17" s="235" t="s">
        <v>2805</v>
      </c>
      <c r="B17" s="245" t="n">
        <v>0.4682</v>
      </c>
      <c r="C17" s="235" t="s">
        <v>2389</v>
      </c>
      <c r="D17" s="235" t="s">
        <v>2806</v>
      </c>
      <c r="E17" s="235"/>
      <c r="F17" s="235"/>
      <c r="G17" s="235"/>
      <c r="H17" s="235"/>
      <c r="I17" s="235"/>
      <c r="J17" s="235"/>
      <c r="K17" s="235"/>
      <c r="L17" s="235"/>
      <c r="M17" s="235"/>
      <c r="N17" s="235"/>
      <c r="O17" s="235"/>
    </row>
    <row r="18" customFormat="false" ht="15" hidden="false" customHeight="true" outlineLevel="0" collapsed="false">
      <c r="A18" s="235" t="s">
        <v>2807</v>
      </c>
      <c r="B18" s="246" t="n">
        <f aca="false">$B$16*(1+$B$17)</f>
        <v>30999.5748</v>
      </c>
      <c r="C18" s="235" t="s">
        <v>2782</v>
      </c>
      <c r="D18" s="235" t="s">
        <v>2808</v>
      </c>
      <c r="E18" s="235"/>
      <c r="F18" s="235"/>
      <c r="G18" s="235"/>
      <c r="H18" s="235"/>
      <c r="I18" s="235"/>
      <c r="J18" s="235"/>
      <c r="K18" s="235"/>
      <c r="L18" s="235"/>
      <c r="M18" s="235"/>
      <c r="N18" s="235"/>
      <c r="O18" s="235"/>
    </row>
    <row r="19" customFormat="false" ht="15" hidden="false" customHeight="true" outlineLevel="0" collapsed="false">
      <c r="A19" s="235" t="s">
        <v>2809</v>
      </c>
      <c r="B19" s="242" t="n">
        <f aca="false">19+16</f>
        <v>35</v>
      </c>
      <c r="C19" s="235" t="s">
        <v>2810</v>
      </c>
      <c r="D19" s="247" t="s">
        <v>2811</v>
      </c>
      <c r="E19" s="235"/>
      <c r="F19" s="235"/>
      <c r="G19" s="235"/>
      <c r="H19" s="235"/>
      <c r="I19" s="235"/>
      <c r="J19" s="235"/>
      <c r="K19" s="235"/>
      <c r="L19" s="235"/>
      <c r="M19" s="235"/>
      <c r="N19" s="235"/>
      <c r="O19" s="235"/>
    </row>
    <row r="20" customFormat="false" ht="15" hidden="false" customHeight="true" outlineLevel="0" collapsed="false">
      <c r="A20" s="235" t="s">
        <v>2812</v>
      </c>
      <c r="B20" s="245" t="n">
        <v>0.053</v>
      </c>
      <c r="C20" s="235" t="s">
        <v>2813</v>
      </c>
      <c r="D20" s="235" t="s">
        <v>2814</v>
      </c>
      <c r="E20" s="235"/>
      <c r="F20" s="235"/>
      <c r="G20" s="235"/>
      <c r="H20" s="235"/>
      <c r="I20" s="235"/>
      <c r="J20" s="235"/>
      <c r="K20" s="235"/>
      <c r="L20" s="235"/>
      <c r="M20" s="235"/>
      <c r="N20" s="235"/>
      <c r="O20" s="235"/>
    </row>
    <row r="21" customFormat="false" ht="15" hidden="false" customHeight="true" outlineLevel="0" collapsed="false">
      <c r="A21" s="235" t="s">
        <v>2815</v>
      </c>
      <c r="B21" s="239" t="n">
        <v>2604</v>
      </c>
      <c r="C21" s="235" t="s">
        <v>2782</v>
      </c>
      <c r="D21" s="235" t="s">
        <v>2816</v>
      </c>
      <c r="E21" s="235"/>
      <c r="F21" s="235"/>
      <c r="G21" s="235"/>
      <c r="H21" s="235"/>
      <c r="I21" s="235"/>
      <c r="J21" s="235"/>
      <c r="K21" s="235"/>
      <c r="L21" s="235"/>
      <c r="M21" s="235"/>
      <c r="N21" s="235"/>
      <c r="O21" s="235"/>
    </row>
    <row r="22" customFormat="false" ht="15" hidden="false" customHeight="true" outlineLevel="0" collapsed="false">
      <c r="A22" s="235" t="s">
        <v>2817</v>
      </c>
      <c r="B22" s="239" t="n">
        <v>5000</v>
      </c>
      <c r="C22" s="235" t="s">
        <v>2818</v>
      </c>
      <c r="D22" s="247" t="s">
        <v>2819</v>
      </c>
      <c r="E22" s="235"/>
      <c r="F22" s="235"/>
      <c r="G22" s="235"/>
      <c r="H22" s="235"/>
      <c r="I22" s="235"/>
      <c r="J22" s="235"/>
      <c r="K22" s="235"/>
      <c r="L22" s="235"/>
      <c r="M22" s="235"/>
      <c r="N22" s="235"/>
      <c r="O22" s="235"/>
    </row>
    <row r="23" customFormat="false" ht="15" hidden="false" customHeight="true" outlineLevel="0" collapsed="false">
      <c r="A23" s="235" t="s">
        <v>2820</v>
      </c>
      <c r="B23" s="242" t="n">
        <v>3</v>
      </c>
      <c r="C23" s="235" t="s">
        <v>4</v>
      </c>
      <c r="D23" s="235" t="s">
        <v>2821</v>
      </c>
      <c r="E23" s="235"/>
      <c r="F23" s="235"/>
      <c r="G23" s="235"/>
      <c r="H23" s="235"/>
      <c r="I23" s="235"/>
      <c r="J23" s="235"/>
      <c r="K23" s="235"/>
      <c r="L23" s="235"/>
      <c r="M23" s="235"/>
      <c r="N23" s="235"/>
      <c r="O23" s="235"/>
    </row>
    <row r="24" customFormat="false" ht="15" hidden="false" customHeight="true" outlineLevel="0" collapsed="false">
      <c r="A24" s="235" t="s">
        <v>2822</v>
      </c>
      <c r="B24" s="242" t="n">
        <v>12</v>
      </c>
      <c r="C24" s="235" t="s">
        <v>4</v>
      </c>
      <c r="D24" s="235" t="s">
        <v>2821</v>
      </c>
      <c r="E24" s="235"/>
      <c r="F24" s="235"/>
      <c r="G24" s="235"/>
      <c r="H24" s="235"/>
      <c r="I24" s="235"/>
      <c r="J24" s="235"/>
      <c r="K24" s="235"/>
      <c r="L24" s="235"/>
      <c r="M24" s="235"/>
      <c r="N24" s="235"/>
      <c r="O24" s="235"/>
    </row>
    <row r="25" customFormat="false" ht="15" hidden="false" customHeight="true" outlineLevel="0" collapsed="false">
      <c r="A25" s="235" t="s">
        <v>2823</v>
      </c>
      <c r="B25" s="242" t="n">
        <v>1</v>
      </c>
      <c r="C25" s="235" t="s">
        <v>4</v>
      </c>
      <c r="D25" s="235" t="s">
        <v>2824</v>
      </c>
      <c r="E25" s="235"/>
      <c r="F25" s="235"/>
      <c r="G25" s="235"/>
      <c r="H25" s="235"/>
      <c r="I25" s="235"/>
      <c r="J25" s="235"/>
      <c r="K25" s="235"/>
      <c r="L25" s="235"/>
      <c r="M25" s="235"/>
      <c r="N25" s="235"/>
      <c r="O25" s="235"/>
    </row>
    <row r="26" customFormat="false" ht="15" hidden="false" customHeight="true" outlineLevel="0" collapsed="false">
      <c r="A26" s="235" t="s">
        <v>2825</v>
      </c>
      <c r="B26" s="239" t="n">
        <v>3000</v>
      </c>
      <c r="C26" s="235" t="s">
        <v>2782</v>
      </c>
      <c r="D26" s="235" t="s">
        <v>2826</v>
      </c>
      <c r="E26" s="235"/>
      <c r="F26" s="235"/>
      <c r="G26" s="235"/>
      <c r="H26" s="235"/>
      <c r="I26" s="235"/>
      <c r="J26" s="235"/>
      <c r="K26" s="235"/>
      <c r="L26" s="235"/>
      <c r="M26" s="235"/>
      <c r="N26" s="235"/>
      <c r="O26" s="235"/>
    </row>
    <row r="27" customFormat="false" ht="15" hidden="false" customHeight="true" outlineLevel="0" collapsed="false">
      <c r="A27" s="235"/>
      <c r="B27" s="235"/>
      <c r="C27" s="235"/>
      <c r="D27" s="235"/>
      <c r="E27" s="235"/>
      <c r="F27" s="235"/>
      <c r="G27" s="235"/>
      <c r="H27" s="235"/>
      <c r="I27" s="235"/>
      <c r="J27" s="235"/>
      <c r="K27" s="235"/>
      <c r="L27" s="235"/>
      <c r="M27" s="235"/>
      <c r="N27" s="235"/>
      <c r="O27" s="235"/>
    </row>
    <row r="28" customFormat="false" ht="27" hidden="false" customHeight="true" outlineLevel="0" collapsed="false">
      <c r="A28" s="238" t="s">
        <v>2827</v>
      </c>
      <c r="B28" s="238" t="s">
        <v>305</v>
      </c>
      <c r="C28" s="238" t="s">
        <v>2372</v>
      </c>
      <c r="D28" s="238" t="s">
        <v>533</v>
      </c>
      <c r="E28" s="238"/>
      <c r="F28" s="238"/>
      <c r="G28" s="238"/>
      <c r="H28" s="238"/>
      <c r="I28" s="238"/>
      <c r="J28" s="238"/>
      <c r="K28" s="238"/>
      <c r="L28" s="238"/>
      <c r="M28" s="238"/>
      <c r="N28" s="238"/>
      <c r="O28" s="238"/>
    </row>
    <row r="29" customFormat="false" ht="15" hidden="false" customHeight="true" outlineLevel="0" collapsed="false">
      <c r="A29" s="235" t="s">
        <v>2828</v>
      </c>
      <c r="B29" s="248" t="n">
        <f aca="false">B30+'Fld Ops Payroll'!B11</f>
        <v>21</v>
      </c>
      <c r="C29" s="235" t="s">
        <v>4</v>
      </c>
      <c r="D29" s="235" t="s">
        <v>2829</v>
      </c>
      <c r="E29" s="235"/>
      <c r="F29" s="235"/>
      <c r="G29" s="235"/>
      <c r="H29" s="235"/>
      <c r="I29" s="235"/>
      <c r="J29" s="235"/>
      <c r="K29" s="235"/>
      <c r="L29" s="235"/>
      <c r="M29" s="235"/>
      <c r="N29" s="235"/>
      <c r="O29" s="235"/>
    </row>
    <row r="30" customFormat="false" ht="15" hidden="false" customHeight="true" outlineLevel="0" collapsed="false">
      <c r="A30" s="235" t="s">
        <v>2830</v>
      </c>
      <c r="B30" s="242" t="n">
        <v>7</v>
      </c>
      <c r="C30" s="235" t="s">
        <v>4</v>
      </c>
      <c r="D30" s="235" t="s">
        <v>2831</v>
      </c>
      <c r="E30" s="235"/>
      <c r="F30" s="235"/>
      <c r="G30" s="235"/>
      <c r="H30" s="235"/>
      <c r="I30" s="235"/>
      <c r="J30" s="235"/>
      <c r="K30" s="235"/>
      <c r="L30" s="235"/>
      <c r="M30" s="235"/>
      <c r="N30" s="235"/>
      <c r="O30" s="235"/>
    </row>
    <row r="31" customFormat="false" ht="15" hidden="false" customHeight="true" outlineLevel="0" collapsed="false">
      <c r="A31" s="235" t="s">
        <v>2832</v>
      </c>
      <c r="B31" s="249" t="n">
        <f aca="false">'Fld Ops Payroll'!B5</f>
        <v>1</v>
      </c>
      <c r="C31" s="235" t="s">
        <v>2833</v>
      </c>
      <c r="D31" s="235" t="s">
        <v>2834</v>
      </c>
      <c r="E31" s="235"/>
      <c r="F31" s="235"/>
      <c r="G31" s="235"/>
      <c r="H31" s="235"/>
      <c r="I31" s="235"/>
      <c r="J31" s="235"/>
      <c r="K31" s="235"/>
      <c r="L31" s="235"/>
      <c r="M31" s="235"/>
      <c r="N31" s="235"/>
      <c r="O31" s="235"/>
    </row>
    <row r="32" customFormat="false" ht="15" hidden="false" customHeight="true" outlineLevel="0" collapsed="false">
      <c r="A32" s="235" t="s">
        <v>2835</v>
      </c>
      <c r="B32" s="250" t="n">
        <f aca="false">'Fld Ops Payroll'!B12</f>
        <v>0.6</v>
      </c>
      <c r="C32" s="235" t="s">
        <v>2389</v>
      </c>
      <c r="D32" s="235" t="s">
        <v>2836</v>
      </c>
      <c r="E32" s="235"/>
      <c r="F32" s="235"/>
      <c r="G32" s="235"/>
      <c r="H32" s="235"/>
      <c r="I32" s="235"/>
      <c r="J32" s="235"/>
      <c r="K32" s="235"/>
      <c r="L32" s="235"/>
      <c r="M32" s="235"/>
      <c r="N32" s="235"/>
      <c r="O32" s="235"/>
    </row>
    <row r="33" customFormat="false" ht="15" hidden="false" customHeight="true" outlineLevel="0" collapsed="false">
      <c r="A33" s="235" t="s">
        <v>2837</v>
      </c>
      <c r="B33" s="251" t="n">
        <f aca="false">'Fld Ops Payroll'!B10</f>
        <v>1</v>
      </c>
      <c r="C33" s="235" t="s">
        <v>2838</v>
      </c>
      <c r="D33" s="235" t="s">
        <v>2839</v>
      </c>
      <c r="E33" s="235"/>
      <c r="F33" s="235"/>
      <c r="G33" s="235"/>
      <c r="H33" s="235"/>
      <c r="I33" s="235"/>
      <c r="J33" s="235"/>
      <c r="K33" s="235"/>
      <c r="L33" s="235"/>
      <c r="M33" s="235"/>
      <c r="N33" s="235"/>
      <c r="O33" s="235"/>
    </row>
    <row r="34" customFormat="false" ht="15" hidden="false" customHeight="true" outlineLevel="0" collapsed="false">
      <c r="A34" s="235" t="s">
        <v>2840</v>
      </c>
      <c r="B34" s="251" t="n">
        <f aca="false">'Fld Ops Payroll'!H8</f>
        <v>20</v>
      </c>
      <c r="C34" s="235" t="s">
        <v>4</v>
      </c>
      <c r="D34" s="235" t="s">
        <v>2841</v>
      </c>
      <c r="E34" s="235"/>
      <c r="F34" s="235"/>
      <c r="G34" s="235"/>
      <c r="H34" s="235"/>
      <c r="I34" s="235"/>
      <c r="J34" s="235"/>
      <c r="K34" s="235"/>
      <c r="L34" s="235"/>
      <c r="M34" s="235"/>
      <c r="N34" s="235"/>
      <c r="O34" s="235"/>
    </row>
    <row r="35" customFormat="false" ht="15" hidden="false" customHeight="true" outlineLevel="0" collapsed="false">
      <c r="A35" s="235" t="s">
        <v>2648</v>
      </c>
      <c r="B35" s="251" t="n">
        <f aca="false">'Fld Ops Payroll'!M11</f>
        <v>40</v>
      </c>
      <c r="C35" s="235" t="s">
        <v>4</v>
      </c>
      <c r="D35" s="235" t="s">
        <v>2842</v>
      </c>
      <c r="E35" s="235"/>
      <c r="F35" s="235"/>
      <c r="G35" s="235"/>
      <c r="H35" s="235"/>
      <c r="I35" s="235"/>
      <c r="J35" s="235"/>
      <c r="K35" s="235"/>
      <c r="L35" s="235"/>
      <c r="M35" s="235"/>
      <c r="N35" s="235"/>
      <c r="O35" s="235"/>
    </row>
    <row r="36" customFormat="false" ht="15" hidden="false" customHeight="true" outlineLevel="0" collapsed="false">
      <c r="A36" s="235" t="s">
        <v>2843</v>
      </c>
      <c r="B36" s="252" t="n">
        <f aca="false">'Fld Ops Payroll'!B9</f>
        <v>2000</v>
      </c>
      <c r="C36" s="235" t="s">
        <v>2844</v>
      </c>
      <c r="D36" s="235" t="s">
        <v>2845</v>
      </c>
      <c r="E36" s="235"/>
      <c r="F36" s="235"/>
      <c r="G36" s="235"/>
      <c r="H36" s="235"/>
      <c r="I36" s="235"/>
      <c r="J36" s="235"/>
      <c r="K36" s="235"/>
      <c r="L36" s="235"/>
      <c r="M36" s="235"/>
      <c r="N36" s="235"/>
      <c r="O36" s="235"/>
    </row>
    <row r="37" customFormat="false" ht="15" hidden="false" customHeight="true" outlineLevel="0" collapsed="false">
      <c r="A37" s="235" t="s">
        <v>2846</v>
      </c>
      <c r="B37" s="253" t="n">
        <f aca="false">B29-B30</f>
        <v>14</v>
      </c>
      <c r="C37" s="235" t="s">
        <v>4</v>
      </c>
      <c r="D37" s="235" t="s">
        <v>2847</v>
      </c>
      <c r="E37" s="235"/>
      <c r="F37" s="235"/>
      <c r="G37" s="235"/>
      <c r="H37" s="235"/>
      <c r="I37" s="235"/>
      <c r="J37" s="235"/>
      <c r="K37" s="235"/>
      <c r="L37" s="235"/>
      <c r="M37" s="235"/>
      <c r="N37" s="235"/>
      <c r="O37" s="235"/>
    </row>
    <row r="38" customFormat="false" ht="15" hidden="false" customHeight="true" outlineLevel="0" collapsed="false">
      <c r="A38" s="235"/>
      <c r="B38" s="235"/>
      <c r="C38" s="235"/>
      <c r="D38" s="235"/>
      <c r="E38" s="235"/>
      <c r="F38" s="235"/>
      <c r="G38" s="235"/>
      <c r="H38" s="235"/>
      <c r="I38" s="235"/>
      <c r="J38" s="235"/>
      <c r="K38" s="235"/>
      <c r="L38" s="235"/>
      <c r="M38" s="235"/>
      <c r="N38" s="235"/>
      <c r="O38" s="235"/>
    </row>
    <row r="39" customFormat="false" ht="27" hidden="false" customHeight="true" outlineLevel="0" collapsed="false">
      <c r="A39" s="238" t="s">
        <v>2848</v>
      </c>
      <c r="B39" s="254" t="n">
        <f aca="false">DATE(2027,1,1)</f>
        <v>46388</v>
      </c>
      <c r="C39" s="254" t="n">
        <f aca="false">DATE(2027,2,1)</f>
        <v>46419</v>
      </c>
      <c r="D39" s="254" t="n">
        <f aca="false">DATE(2027,3,1)</f>
        <v>46447</v>
      </c>
      <c r="E39" s="254" t="n">
        <f aca="false">DATE(2027,4,1)</f>
        <v>46478</v>
      </c>
      <c r="F39" s="254" t="n">
        <f aca="false">DATE(2027,5,1)</f>
        <v>46508</v>
      </c>
      <c r="G39" s="254" t="n">
        <f aca="false">DATE(2027,6,1)</f>
        <v>46539</v>
      </c>
      <c r="H39" s="254" t="n">
        <f aca="false">DATE(2027,7,1)</f>
        <v>46569</v>
      </c>
      <c r="I39" s="254" t="n">
        <f aca="false">DATE(2027,8,1)</f>
        <v>46600</v>
      </c>
      <c r="J39" s="254" t="n">
        <f aca="false">DATE(2027,9,1)</f>
        <v>46631</v>
      </c>
      <c r="K39" s="254" t="n">
        <f aca="false">DATE(2027,10,1)</f>
        <v>46661</v>
      </c>
      <c r="L39" s="254" t="n">
        <f aca="false">DATE(2027,11,1)</f>
        <v>46692</v>
      </c>
      <c r="M39" s="254" t="n">
        <f aca="false">DATE(2027,12,1)</f>
        <v>46722</v>
      </c>
      <c r="N39" s="255" t="s">
        <v>2325</v>
      </c>
      <c r="O39" s="255"/>
    </row>
    <row r="40" customFormat="false" ht="15" hidden="false" customHeight="true" outlineLevel="0" collapsed="false">
      <c r="A40" s="235" t="s">
        <v>2849</v>
      </c>
      <c r="B40" s="256" t="n">
        <f aca="false">N(DeploySum!F54)</f>
        <v>3</v>
      </c>
      <c r="C40" s="256" t="n">
        <f aca="false">N(DeploySum!G54)</f>
        <v>2</v>
      </c>
      <c r="D40" s="256" t="n">
        <f aca="false">N(DeploySum!H54)</f>
        <v>0</v>
      </c>
      <c r="E40" s="256" t="n">
        <f aca="false">N(DeploySum!I54)</f>
        <v>3</v>
      </c>
      <c r="F40" s="256" t="n">
        <f aca="false">N(DeploySum!J54)</f>
        <v>3</v>
      </c>
      <c r="G40" s="256" t="n">
        <f aca="false">N(DeploySum!K54)</f>
        <v>4</v>
      </c>
      <c r="H40" s="256" t="n">
        <f aca="false">N(DeploySum!L54)</f>
        <v>4</v>
      </c>
      <c r="I40" s="256" t="n">
        <f aca="false">N(DeploySum!M54)</f>
        <v>5</v>
      </c>
      <c r="J40" s="256" t="n">
        <f aca="false">N(DeploySum!N54)</f>
        <v>6</v>
      </c>
      <c r="K40" s="256" t="n">
        <f aca="false">N(DeploySum!O54)</f>
        <v>6</v>
      </c>
      <c r="L40" s="256" t="n">
        <f aca="false">N(DeploySum!P54)</f>
        <v>7</v>
      </c>
      <c r="M40" s="256" t="n">
        <f aca="false">N(DeploySum!Q54)</f>
        <v>8</v>
      </c>
      <c r="N40" s="257" t="n">
        <f aca="false">SUM(B40:M40)</f>
        <v>51</v>
      </c>
      <c r="O40" s="235"/>
    </row>
    <row r="41" customFormat="false" ht="15" hidden="false" customHeight="true" outlineLevel="0" collapsed="false">
      <c r="A41" s="235" t="s">
        <v>2850</v>
      </c>
      <c r="B41" s="256" t="n">
        <f aca="false">N(DeploySum!F60)</f>
        <v>0</v>
      </c>
      <c r="C41" s="256" t="n">
        <f aca="false">N(DeploySum!G60)</f>
        <v>0</v>
      </c>
      <c r="D41" s="256" t="n">
        <f aca="false">N(DeploySum!H60)</f>
        <v>0</v>
      </c>
      <c r="E41" s="256" t="n">
        <f aca="false">N(DeploySum!I60)</f>
        <v>1</v>
      </c>
      <c r="F41" s="256" t="n">
        <f aca="false">N(DeploySum!J60)</f>
        <v>0</v>
      </c>
      <c r="G41" s="256" t="n">
        <f aca="false">N(DeploySum!K60)</f>
        <v>0</v>
      </c>
      <c r="H41" s="256" t="n">
        <f aca="false">N(DeploySum!L60)</f>
        <v>0</v>
      </c>
      <c r="I41" s="256" t="n">
        <f aca="false">N(DeploySum!M60)</f>
        <v>0</v>
      </c>
      <c r="J41" s="256" t="n">
        <f aca="false">N(DeploySum!N60)</f>
        <v>0</v>
      </c>
      <c r="K41" s="256" t="n">
        <f aca="false">N(DeploySum!O60)</f>
        <v>0</v>
      </c>
      <c r="L41" s="256" t="n">
        <f aca="false">N(DeploySum!P60)</f>
        <v>0</v>
      </c>
      <c r="M41" s="256" t="n">
        <f aca="false">N(DeploySum!Q60)</f>
        <v>0</v>
      </c>
      <c r="N41" s="257" t="n">
        <f aca="false">SUM(B41:M41)</f>
        <v>1</v>
      </c>
      <c r="O41" s="235"/>
    </row>
    <row r="42" customFormat="false" ht="15" hidden="false" customHeight="true" outlineLevel="0" collapsed="false">
      <c r="A42" s="235" t="s">
        <v>2851</v>
      </c>
      <c r="B42" s="256" t="n">
        <f aca="false">N(DeploySum!F57)</f>
        <v>0</v>
      </c>
      <c r="C42" s="256" t="n">
        <f aca="false">N(DeploySum!G57)</f>
        <v>0</v>
      </c>
      <c r="D42" s="256" t="n">
        <f aca="false">N(DeploySum!H57)</f>
        <v>0</v>
      </c>
      <c r="E42" s="256" t="n">
        <f aca="false">N(DeploySum!I57)</f>
        <v>1</v>
      </c>
      <c r="F42" s="256" t="n">
        <f aca="false">N(DeploySum!J57)</f>
        <v>1</v>
      </c>
      <c r="G42" s="256" t="n">
        <f aca="false">N(DeploySum!K57)</f>
        <v>2</v>
      </c>
      <c r="H42" s="256" t="n">
        <f aca="false">N(DeploySum!L57)</f>
        <v>1</v>
      </c>
      <c r="I42" s="256" t="n">
        <f aca="false">N(DeploySum!M57)</f>
        <v>1</v>
      </c>
      <c r="J42" s="256" t="n">
        <f aca="false">N(DeploySum!N57)</f>
        <v>2</v>
      </c>
      <c r="K42" s="256" t="n">
        <f aca="false">N(DeploySum!O57)</f>
        <v>2</v>
      </c>
      <c r="L42" s="256" t="n">
        <f aca="false">N(DeploySum!P57)</f>
        <v>3</v>
      </c>
      <c r="M42" s="256" t="n">
        <f aca="false">N(DeploySum!Q57)</f>
        <v>2</v>
      </c>
      <c r="N42" s="257" t="n">
        <f aca="false">SUM(B42:M42)</f>
        <v>15</v>
      </c>
      <c r="O42" s="235"/>
    </row>
    <row r="43" customFormat="false" ht="15" hidden="false" customHeight="true" outlineLevel="0" collapsed="false">
      <c r="A43" s="258" t="s">
        <v>2852</v>
      </c>
      <c r="B43" s="259" t="n">
        <f aca="false">B40+B41+B42</f>
        <v>3</v>
      </c>
      <c r="C43" s="259" t="n">
        <f aca="false">C40+C41+C42</f>
        <v>2</v>
      </c>
      <c r="D43" s="259" t="n">
        <f aca="false">D40+D41+D42</f>
        <v>0</v>
      </c>
      <c r="E43" s="259" t="n">
        <f aca="false">E40+E41+E42</f>
        <v>5</v>
      </c>
      <c r="F43" s="259" t="n">
        <f aca="false">F40+F41+F42</f>
        <v>4</v>
      </c>
      <c r="G43" s="259" t="n">
        <f aca="false">G40+G41+G42</f>
        <v>6</v>
      </c>
      <c r="H43" s="259" t="n">
        <f aca="false">H40+H41+H42</f>
        <v>5</v>
      </c>
      <c r="I43" s="259" t="n">
        <f aca="false">I40+I41+I42</f>
        <v>6</v>
      </c>
      <c r="J43" s="259" t="n">
        <f aca="false">J40+J41+J42</f>
        <v>8</v>
      </c>
      <c r="K43" s="259" t="n">
        <f aca="false">K40+K41+K42</f>
        <v>8</v>
      </c>
      <c r="L43" s="259" t="n">
        <f aca="false">L40+L41+L42</f>
        <v>10</v>
      </c>
      <c r="M43" s="259" t="n">
        <f aca="false">M40+M41+M42</f>
        <v>10</v>
      </c>
      <c r="N43" s="259" t="n">
        <f aca="false">SUM(B43:M43)</f>
        <v>67</v>
      </c>
      <c r="O43" s="235"/>
    </row>
    <row r="44" customFormat="false" ht="15" hidden="false" customHeight="true" outlineLevel="0" collapsed="false">
      <c r="A44" s="235" t="s">
        <v>2835</v>
      </c>
      <c r="B44" s="257" t="n">
        <f aca="false">B42*$B$32</f>
        <v>0</v>
      </c>
      <c r="C44" s="257" t="n">
        <f aca="false">C42*$B$32</f>
        <v>0</v>
      </c>
      <c r="D44" s="257" t="n">
        <f aca="false">D42*$B$32</f>
        <v>0</v>
      </c>
      <c r="E44" s="257" t="n">
        <f aca="false">E42*$B$32</f>
        <v>0.6</v>
      </c>
      <c r="F44" s="257" t="n">
        <f aca="false">F42*$B$32</f>
        <v>0.6</v>
      </c>
      <c r="G44" s="257" t="n">
        <f aca="false">G42*$B$32</f>
        <v>1.2</v>
      </c>
      <c r="H44" s="257" t="n">
        <f aca="false">H42*$B$32</f>
        <v>0.6</v>
      </c>
      <c r="I44" s="257" t="n">
        <f aca="false">I42*$B$32</f>
        <v>0.6</v>
      </c>
      <c r="J44" s="257" t="n">
        <f aca="false">J42*$B$32</f>
        <v>1.2</v>
      </c>
      <c r="K44" s="257" t="n">
        <f aca="false">K42*$B$32</f>
        <v>1.2</v>
      </c>
      <c r="L44" s="257" t="n">
        <f aca="false">L42*$B$32</f>
        <v>1.8</v>
      </c>
      <c r="M44" s="257" t="n">
        <f aca="false">M42*$B$32</f>
        <v>1.2</v>
      </c>
      <c r="N44" s="257" t="n">
        <f aca="false">SUM(B44:M44)</f>
        <v>9</v>
      </c>
      <c r="O44" s="235"/>
    </row>
    <row r="45" customFormat="false" ht="15" hidden="false" customHeight="true" outlineLevel="0" collapsed="false">
      <c r="A45" s="258" t="s">
        <v>2853</v>
      </c>
      <c r="B45" s="259" t="n">
        <f aca="false">B40+B41+B44</f>
        <v>3</v>
      </c>
      <c r="C45" s="259" t="n">
        <f aca="false">C40+C41+C44</f>
        <v>2</v>
      </c>
      <c r="D45" s="259" t="n">
        <f aca="false">D40+D41+D44</f>
        <v>0</v>
      </c>
      <c r="E45" s="259" t="n">
        <f aca="false">E40+E41+E44</f>
        <v>4.6</v>
      </c>
      <c r="F45" s="259" t="n">
        <f aca="false">F40+F41+F44</f>
        <v>3.6</v>
      </c>
      <c r="G45" s="259" t="n">
        <f aca="false">G40+G41+G44</f>
        <v>5.2</v>
      </c>
      <c r="H45" s="259" t="n">
        <f aca="false">H40+H41+H44</f>
        <v>4.6</v>
      </c>
      <c r="I45" s="259" t="n">
        <f aca="false">I40+I41+I44</f>
        <v>5.6</v>
      </c>
      <c r="J45" s="259" t="n">
        <f aca="false">J40+J41+J44</f>
        <v>7.2</v>
      </c>
      <c r="K45" s="259" t="n">
        <f aca="false">K40+K41+K44</f>
        <v>7.2</v>
      </c>
      <c r="L45" s="259" t="n">
        <f aca="false">L40+L41+L44</f>
        <v>8.8</v>
      </c>
      <c r="M45" s="259" t="n">
        <f aca="false">M40+M41+M44</f>
        <v>9.2</v>
      </c>
      <c r="N45" s="259" t="n">
        <f aca="false">SUM(B45:M45)</f>
        <v>61</v>
      </c>
      <c r="O45" s="235"/>
    </row>
    <row r="46" customFormat="false" ht="15" hidden="false" customHeight="true" outlineLevel="0" collapsed="false">
      <c r="A46" s="235" t="s">
        <v>2854</v>
      </c>
      <c r="B46" s="257" t="n">
        <f aca="false">B45*$B$6</f>
        <v>0.9</v>
      </c>
      <c r="C46" s="257" t="n">
        <f aca="false">C45*$B$6</f>
        <v>0.6</v>
      </c>
      <c r="D46" s="257" t="n">
        <f aca="false">D45*$B$6</f>
        <v>0</v>
      </c>
      <c r="E46" s="257" t="n">
        <f aca="false">E45*$B$6</f>
        <v>1.38</v>
      </c>
      <c r="F46" s="257" t="n">
        <f aca="false">F45*$B$6</f>
        <v>1.08</v>
      </c>
      <c r="G46" s="257" t="n">
        <f aca="false">G45*$B$6</f>
        <v>1.56</v>
      </c>
      <c r="H46" s="257" t="n">
        <f aca="false">H45*$B$6</f>
        <v>1.38</v>
      </c>
      <c r="I46" s="257" t="n">
        <f aca="false">I45*$B$6</f>
        <v>1.68</v>
      </c>
      <c r="J46" s="257" t="n">
        <f aca="false">J45*$B$6</f>
        <v>2.16</v>
      </c>
      <c r="K46" s="257" t="n">
        <f aca="false">K45*$B$6</f>
        <v>2.16</v>
      </c>
      <c r="L46" s="257" t="n">
        <f aca="false">L45*$B$6</f>
        <v>2.64</v>
      </c>
      <c r="M46" s="257" t="n">
        <f aca="false">M45*$B$6</f>
        <v>2.76</v>
      </c>
      <c r="N46" s="257" t="n">
        <f aca="false">SUM(B46:M46)</f>
        <v>18.3</v>
      </c>
      <c r="O46" s="235"/>
    </row>
    <row r="47" customFormat="false" ht="15" hidden="false" customHeight="true" outlineLevel="0" collapsed="false">
      <c r="A47" s="235" t="s">
        <v>2855</v>
      </c>
      <c r="B47" s="256" t="n">
        <f aca="false">N(DeploySum!F55)</f>
        <v>20</v>
      </c>
      <c r="C47" s="256" t="n">
        <f aca="false">N(DeploySum!G55)</f>
        <v>8</v>
      </c>
      <c r="D47" s="256" t="n">
        <f aca="false">N(DeploySum!H55)</f>
        <v>0</v>
      </c>
      <c r="E47" s="256" t="n">
        <f aca="false">N(DeploySum!I55)</f>
        <v>12</v>
      </c>
      <c r="F47" s="256" t="n">
        <f aca="false">N(DeploySum!J55)</f>
        <v>12</v>
      </c>
      <c r="G47" s="256" t="n">
        <f aca="false">N(DeploySum!K55)</f>
        <v>16</v>
      </c>
      <c r="H47" s="256" t="n">
        <f aca="false">N(DeploySum!L55)</f>
        <v>16</v>
      </c>
      <c r="I47" s="256" t="n">
        <f aca="false">N(DeploySum!M55)</f>
        <v>20</v>
      </c>
      <c r="J47" s="256" t="n">
        <f aca="false">N(DeploySum!N55)</f>
        <v>24</v>
      </c>
      <c r="K47" s="256" t="n">
        <f aca="false">N(DeploySum!O55)</f>
        <v>24</v>
      </c>
      <c r="L47" s="256" t="n">
        <f aca="false">N(DeploySum!P55)</f>
        <v>28</v>
      </c>
      <c r="M47" s="256" t="n">
        <f aca="false">N(DeploySum!Q55)</f>
        <v>32</v>
      </c>
      <c r="N47" s="257" t="n">
        <f aca="false">SUM(B47:M47)</f>
        <v>212</v>
      </c>
      <c r="O47" s="235"/>
    </row>
    <row r="48" customFormat="false" ht="15" hidden="false" customHeight="true" outlineLevel="0" collapsed="false">
      <c r="A48" s="235" t="s">
        <v>2856</v>
      </c>
      <c r="B48" s="256" t="n">
        <f aca="false">N(DeploySum!F58)</f>
        <v>0</v>
      </c>
      <c r="C48" s="256" t="n">
        <f aca="false">N(DeploySum!G58)</f>
        <v>0</v>
      </c>
      <c r="D48" s="256" t="n">
        <f aca="false">N(DeploySum!H58)</f>
        <v>0</v>
      </c>
      <c r="E48" s="256" t="n">
        <f aca="false">N(DeploySum!I58)</f>
        <v>2</v>
      </c>
      <c r="F48" s="256" t="n">
        <f aca="false">N(DeploySum!J58)</f>
        <v>2</v>
      </c>
      <c r="G48" s="256" t="n">
        <f aca="false">N(DeploySum!K58)</f>
        <v>4</v>
      </c>
      <c r="H48" s="256" t="n">
        <f aca="false">N(DeploySum!L58)</f>
        <v>2</v>
      </c>
      <c r="I48" s="256" t="n">
        <f aca="false">N(DeploySum!M58)</f>
        <v>2</v>
      </c>
      <c r="J48" s="256" t="n">
        <f aca="false">N(DeploySum!N58)</f>
        <v>4</v>
      </c>
      <c r="K48" s="256" t="n">
        <f aca="false">N(DeploySum!O58)</f>
        <v>4</v>
      </c>
      <c r="L48" s="256" t="n">
        <f aca="false">N(DeploySum!P58)</f>
        <v>6</v>
      </c>
      <c r="M48" s="256" t="n">
        <f aca="false">N(DeploySum!Q58)</f>
        <v>4</v>
      </c>
      <c r="N48" s="257" t="n">
        <f aca="false">SUM(B48:M48)</f>
        <v>30</v>
      </c>
      <c r="O48" s="235"/>
    </row>
    <row r="49" customFormat="false" ht="15" hidden="false" customHeight="true" outlineLevel="0" collapsed="false">
      <c r="A49" s="235" t="s">
        <v>2857</v>
      </c>
      <c r="B49" s="256" t="n">
        <f aca="false">N(DeploySum!F61)</f>
        <v>0</v>
      </c>
      <c r="C49" s="256" t="n">
        <f aca="false">N(DeploySum!G61)</f>
        <v>0</v>
      </c>
      <c r="D49" s="256" t="n">
        <f aca="false">N(DeploySum!H61)</f>
        <v>0</v>
      </c>
      <c r="E49" s="256" t="n">
        <f aca="false">N(DeploySum!I61)</f>
        <v>8</v>
      </c>
      <c r="F49" s="256" t="n">
        <f aca="false">N(DeploySum!J61)</f>
        <v>0</v>
      </c>
      <c r="G49" s="256" t="n">
        <f aca="false">N(DeploySum!K61)</f>
        <v>0</v>
      </c>
      <c r="H49" s="256" t="n">
        <f aca="false">N(DeploySum!L61)</f>
        <v>0</v>
      </c>
      <c r="I49" s="256" t="n">
        <f aca="false">N(DeploySum!M61)</f>
        <v>0</v>
      </c>
      <c r="J49" s="256" t="n">
        <f aca="false">N(DeploySum!N61)</f>
        <v>0</v>
      </c>
      <c r="K49" s="256" t="n">
        <f aca="false">N(DeploySum!O61)</f>
        <v>0</v>
      </c>
      <c r="L49" s="256" t="n">
        <f aca="false">N(DeploySum!P61)</f>
        <v>0</v>
      </c>
      <c r="M49" s="256" t="n">
        <f aca="false">N(DeploySum!Q61)</f>
        <v>0</v>
      </c>
      <c r="N49" s="257" t="n">
        <f aca="false">SUM(B49:M49)</f>
        <v>8</v>
      </c>
      <c r="O49" s="235"/>
    </row>
    <row r="50" customFormat="false" ht="15" hidden="false" customHeight="true" outlineLevel="0" collapsed="false">
      <c r="A50" s="258" t="s">
        <v>2858</v>
      </c>
      <c r="B50" s="259" t="n">
        <f aca="false">B47+B48+B49</f>
        <v>20</v>
      </c>
      <c r="C50" s="259" t="n">
        <f aca="false">C47+C48+C49</f>
        <v>8</v>
      </c>
      <c r="D50" s="259" t="n">
        <f aca="false">D47+D48+D49</f>
        <v>0</v>
      </c>
      <c r="E50" s="259" t="n">
        <f aca="false">E47+E48+E49</f>
        <v>22</v>
      </c>
      <c r="F50" s="259" t="n">
        <f aca="false">F47+F48+F49</f>
        <v>14</v>
      </c>
      <c r="G50" s="259" t="n">
        <f aca="false">G47+G48+G49</f>
        <v>20</v>
      </c>
      <c r="H50" s="259" t="n">
        <f aca="false">H47+H48+H49</f>
        <v>18</v>
      </c>
      <c r="I50" s="259" t="n">
        <f aca="false">I47+I48+I49</f>
        <v>22</v>
      </c>
      <c r="J50" s="259" t="n">
        <f aca="false">J47+J48+J49</f>
        <v>28</v>
      </c>
      <c r="K50" s="259" t="n">
        <f aca="false">K47+K48+K49</f>
        <v>28</v>
      </c>
      <c r="L50" s="259" t="n">
        <f aca="false">L47+L48+L49</f>
        <v>34</v>
      </c>
      <c r="M50" s="259" t="n">
        <f aca="false">M47+M48+M49</f>
        <v>36</v>
      </c>
      <c r="N50" s="259" t="n">
        <f aca="false">SUM(B50:M50)</f>
        <v>250</v>
      </c>
      <c r="O50" s="235"/>
    </row>
    <row r="51" customFormat="false" ht="15" hidden="false" customHeight="true" outlineLevel="0" collapsed="false">
      <c r="A51" s="235" t="s">
        <v>2859</v>
      </c>
      <c r="B51" s="256" t="n">
        <f aca="false">N(DeploySum!F56)</f>
        <v>60</v>
      </c>
      <c r="C51" s="256" t="n">
        <f aca="false">N(DeploySum!G56)</f>
        <v>24</v>
      </c>
      <c r="D51" s="256" t="n">
        <f aca="false">N(DeploySum!H56)</f>
        <v>0</v>
      </c>
      <c r="E51" s="256" t="n">
        <f aca="false">N(DeploySum!I56)</f>
        <v>36</v>
      </c>
      <c r="F51" s="256" t="n">
        <f aca="false">N(DeploySum!J56)</f>
        <v>36</v>
      </c>
      <c r="G51" s="256" t="n">
        <f aca="false">N(DeploySum!K56)</f>
        <v>48</v>
      </c>
      <c r="H51" s="256" t="n">
        <f aca="false">N(DeploySum!L56)</f>
        <v>48</v>
      </c>
      <c r="I51" s="256" t="n">
        <f aca="false">N(DeploySum!M56)</f>
        <v>60</v>
      </c>
      <c r="J51" s="256" t="n">
        <f aca="false">N(DeploySum!N56)</f>
        <v>72</v>
      </c>
      <c r="K51" s="256" t="n">
        <f aca="false">N(DeploySum!O56)</f>
        <v>72</v>
      </c>
      <c r="L51" s="256" t="n">
        <f aca="false">N(DeploySum!P56)</f>
        <v>84</v>
      </c>
      <c r="M51" s="256" t="n">
        <f aca="false">N(DeploySum!Q56)</f>
        <v>96</v>
      </c>
      <c r="N51" s="257" t="n">
        <f aca="false">SUM(B51:M51)</f>
        <v>636</v>
      </c>
      <c r="O51" s="235"/>
    </row>
    <row r="52" customFormat="false" ht="15" hidden="false" customHeight="true" outlineLevel="0" collapsed="false">
      <c r="A52" s="235" t="s">
        <v>2860</v>
      </c>
      <c r="B52" s="256" t="n">
        <f aca="false">N(DeploySum!F59)</f>
        <v>0</v>
      </c>
      <c r="C52" s="256" t="n">
        <f aca="false">N(DeploySum!G59)</f>
        <v>0</v>
      </c>
      <c r="D52" s="256" t="n">
        <f aca="false">N(DeploySum!H59)</f>
        <v>0</v>
      </c>
      <c r="E52" s="256" t="n">
        <f aca="false">N(DeploySum!I59)</f>
        <v>25</v>
      </c>
      <c r="F52" s="256" t="n">
        <f aca="false">N(DeploySum!J59)</f>
        <v>25</v>
      </c>
      <c r="G52" s="256" t="n">
        <f aca="false">N(DeploySum!K59)</f>
        <v>50</v>
      </c>
      <c r="H52" s="256" t="n">
        <f aca="false">N(DeploySum!L59)</f>
        <v>25</v>
      </c>
      <c r="I52" s="256" t="n">
        <f aca="false">N(DeploySum!M59)</f>
        <v>25</v>
      </c>
      <c r="J52" s="256" t="n">
        <f aca="false">N(DeploySum!N59)</f>
        <v>50</v>
      </c>
      <c r="K52" s="256" t="n">
        <f aca="false">N(DeploySum!O59)</f>
        <v>50</v>
      </c>
      <c r="L52" s="256" t="n">
        <f aca="false">N(DeploySum!P59)</f>
        <v>75</v>
      </c>
      <c r="M52" s="256" t="n">
        <f aca="false">N(DeploySum!Q59)</f>
        <v>50</v>
      </c>
      <c r="N52" s="257" t="n">
        <f aca="false">SUM(B52:M52)</f>
        <v>375</v>
      </c>
      <c r="O52" s="235"/>
    </row>
    <row r="53" customFormat="false" ht="15" hidden="false" customHeight="true" outlineLevel="0" collapsed="false">
      <c r="A53" s="235" t="s">
        <v>2861</v>
      </c>
      <c r="B53" s="256" t="n">
        <f aca="false">N(DeploySum!F62)</f>
        <v>0</v>
      </c>
      <c r="C53" s="256" t="n">
        <f aca="false">N(DeploySum!G62)</f>
        <v>0</v>
      </c>
      <c r="D53" s="256" t="n">
        <f aca="false">N(DeploySum!H62)</f>
        <v>0</v>
      </c>
      <c r="E53" s="256" t="n">
        <f aca="false">N(DeploySum!I62)</f>
        <v>25</v>
      </c>
      <c r="F53" s="256" t="n">
        <f aca="false">N(DeploySum!J62)</f>
        <v>0</v>
      </c>
      <c r="G53" s="256" t="n">
        <f aca="false">N(DeploySum!K62)</f>
        <v>0</v>
      </c>
      <c r="H53" s="256" t="n">
        <f aca="false">N(DeploySum!L62)</f>
        <v>0</v>
      </c>
      <c r="I53" s="256" t="n">
        <f aca="false">N(DeploySum!M62)</f>
        <v>0</v>
      </c>
      <c r="J53" s="256" t="n">
        <f aca="false">N(DeploySum!N62)</f>
        <v>0</v>
      </c>
      <c r="K53" s="256" t="n">
        <f aca="false">N(DeploySum!O62)</f>
        <v>0</v>
      </c>
      <c r="L53" s="256" t="n">
        <f aca="false">N(DeploySum!P62)</f>
        <v>0</v>
      </c>
      <c r="M53" s="256" t="n">
        <f aca="false">N(DeploySum!Q62)</f>
        <v>0</v>
      </c>
      <c r="N53" s="257" t="n">
        <f aca="false">SUM(B53:M53)</f>
        <v>25</v>
      </c>
      <c r="O53" s="235"/>
    </row>
    <row r="54" customFormat="false" ht="15" hidden="false" customHeight="true" outlineLevel="0" collapsed="false">
      <c r="A54" s="258" t="s">
        <v>2862</v>
      </c>
      <c r="B54" s="259" t="n">
        <f aca="false">B51+B52+B53</f>
        <v>60</v>
      </c>
      <c r="C54" s="259" t="n">
        <f aca="false">C51+C52+C53</f>
        <v>24</v>
      </c>
      <c r="D54" s="259" t="n">
        <f aca="false">D51+D52+D53</f>
        <v>0</v>
      </c>
      <c r="E54" s="259" t="n">
        <f aca="false">E51+E52+E53</f>
        <v>86</v>
      </c>
      <c r="F54" s="259" t="n">
        <f aca="false">F51+F52+F53</f>
        <v>61</v>
      </c>
      <c r="G54" s="259" t="n">
        <f aca="false">G51+G52+G53</f>
        <v>98</v>
      </c>
      <c r="H54" s="259" t="n">
        <f aca="false">H51+H52+H53</f>
        <v>73</v>
      </c>
      <c r="I54" s="259" t="n">
        <f aca="false">I51+I52+I53</f>
        <v>85</v>
      </c>
      <c r="J54" s="259" t="n">
        <f aca="false">J51+J52+J53</f>
        <v>122</v>
      </c>
      <c r="K54" s="259" t="n">
        <f aca="false">K51+K52+K53</f>
        <v>122</v>
      </c>
      <c r="L54" s="259" t="n">
        <f aca="false">L51+L52+L53</f>
        <v>159</v>
      </c>
      <c r="M54" s="259" t="n">
        <f aca="false">M51+M52+M53</f>
        <v>146</v>
      </c>
      <c r="N54" s="259" t="n">
        <f aca="false">SUM(B54:M54)</f>
        <v>1036</v>
      </c>
      <c r="O54" s="235"/>
    </row>
    <row r="55" customFormat="false" ht="15" hidden="false" customHeight="true" outlineLevel="0" collapsed="false">
      <c r="A55" s="235" t="s">
        <v>2863</v>
      </c>
      <c r="B55" s="257" t="n">
        <f aca="false">IF(B40=0,0,B40*MAX(ROUNDUP(B47/B40/$B$23,0),ROUNDUP(B51/B40/$B$24,0),$B$25))</f>
        <v>9</v>
      </c>
      <c r="C55" s="257" t="n">
        <f aca="false">IF(C40=0,0,C40*MAX(ROUNDUP(C47/C40/$B$23,0),ROUNDUP(C51/C40/$B$24,0),$B$25))</f>
        <v>4</v>
      </c>
      <c r="D55" s="257" t="n">
        <f aca="false">IF(D40=0,0,D40*MAX(ROUNDUP(D47/D40/$B$23,0),ROUNDUP(D51/D40/$B$24,0),$B$25))</f>
        <v>0</v>
      </c>
      <c r="E55" s="257" t="n">
        <f aca="false">IF(E40=0,0,E40*MAX(ROUNDUP(E47/E40/$B$23,0),ROUNDUP(E51/E40/$B$24,0),$B$25))</f>
        <v>6</v>
      </c>
      <c r="F55" s="257" t="n">
        <f aca="false">IF(F40=0,0,F40*MAX(ROUNDUP(F47/F40/$B$23,0),ROUNDUP(F51/F40/$B$24,0),$B$25))</f>
        <v>6</v>
      </c>
      <c r="G55" s="257" t="n">
        <f aca="false">IF(G40=0,0,G40*MAX(ROUNDUP(G47/G40/$B$23,0),ROUNDUP(G51/G40/$B$24,0),$B$25))</f>
        <v>8</v>
      </c>
      <c r="H55" s="257" t="n">
        <f aca="false">IF(H40=0,0,H40*MAX(ROUNDUP(H47/H40/$B$23,0),ROUNDUP(H51/H40/$B$24,0),$B$25))</f>
        <v>8</v>
      </c>
      <c r="I55" s="257" t="n">
        <f aca="false">IF(I40=0,0,I40*MAX(ROUNDUP(I47/I40/$B$23,0),ROUNDUP(I51/I40/$B$24,0),$B$25))</f>
        <v>10</v>
      </c>
      <c r="J55" s="257" t="n">
        <f aca="false">IF(J40=0,0,J40*MAX(ROUNDUP(J47/J40/$B$23,0),ROUNDUP(J51/J40/$B$24,0),$B$25))</f>
        <v>12</v>
      </c>
      <c r="K55" s="257" t="n">
        <f aca="false">IF(K40=0,0,K40*MAX(ROUNDUP(K47/K40/$B$23,0),ROUNDUP(K51/K40/$B$24,0),$B$25))</f>
        <v>12</v>
      </c>
      <c r="L55" s="257" t="n">
        <f aca="false">IF(L40=0,0,L40*MAX(ROUNDUP(L47/L40/$B$23,0),ROUNDUP(L51/L40/$B$24,0),$B$25))</f>
        <v>14</v>
      </c>
      <c r="M55" s="257" t="n">
        <f aca="false">IF(M40=0,0,M40*MAX(ROUNDUP(M47/M40/$B$23,0),ROUNDUP(M51/M40/$B$24,0),$B$25))</f>
        <v>16</v>
      </c>
      <c r="N55" s="257" t="n">
        <f aca="false">SUM(B55:M55)</f>
        <v>105</v>
      </c>
      <c r="O55" s="235"/>
    </row>
    <row r="56" customFormat="false" ht="15" hidden="false" customHeight="true" outlineLevel="0" collapsed="false">
      <c r="A56" s="235" t="s">
        <v>2864</v>
      </c>
      <c r="B56" s="257" t="n">
        <f aca="false">IF(B42=0,0,B42*MAX(ROUNDUP(B48/B42/$B$23,0),ROUNDUP(B52/B42/$B$24,0),$B$25))</f>
        <v>0</v>
      </c>
      <c r="C56" s="257" t="n">
        <f aca="false">IF(C42=0,0,C42*MAX(ROUNDUP(C48/C42/$B$23,0),ROUNDUP(C52/C42/$B$24,0),$B$25))</f>
        <v>0</v>
      </c>
      <c r="D56" s="257" t="n">
        <f aca="false">IF(D42=0,0,D42*MAX(ROUNDUP(D48/D42/$B$23,0),ROUNDUP(D52/D42/$B$24,0),$B$25))</f>
        <v>0</v>
      </c>
      <c r="E56" s="257" t="n">
        <f aca="false">IF(E42=0,0,E42*MAX(ROUNDUP(E48/E42/$B$23,0),ROUNDUP(E52/E42/$B$24,0),$B$25))</f>
        <v>3</v>
      </c>
      <c r="F56" s="257" t="n">
        <f aca="false">IF(F42=0,0,F42*MAX(ROUNDUP(F48/F42/$B$23,0),ROUNDUP(F52/F42/$B$24,0),$B$25))</f>
        <v>3</v>
      </c>
      <c r="G56" s="257" t="n">
        <f aca="false">IF(G42=0,0,G42*MAX(ROUNDUP(G48/G42/$B$23,0),ROUNDUP(G52/G42/$B$24,0),$B$25))</f>
        <v>6</v>
      </c>
      <c r="H56" s="257" t="n">
        <f aca="false">IF(H42=0,0,H42*MAX(ROUNDUP(H48/H42/$B$23,0),ROUNDUP(H52/H42/$B$24,0),$B$25))</f>
        <v>3</v>
      </c>
      <c r="I56" s="257" t="n">
        <f aca="false">IF(I42=0,0,I42*MAX(ROUNDUP(I48/I42/$B$23,0),ROUNDUP(I52/I42/$B$24,0),$B$25))</f>
        <v>3</v>
      </c>
      <c r="J56" s="257" t="n">
        <f aca="false">IF(J42=0,0,J42*MAX(ROUNDUP(J48/J42/$B$23,0),ROUNDUP(J52/J42/$B$24,0),$B$25))</f>
        <v>6</v>
      </c>
      <c r="K56" s="257" t="n">
        <f aca="false">IF(K42=0,0,K42*MAX(ROUNDUP(K48/K42/$B$23,0),ROUNDUP(K52/K42/$B$24,0),$B$25))</f>
        <v>6</v>
      </c>
      <c r="L56" s="257" t="n">
        <f aca="false">IF(L42=0,0,L42*MAX(ROUNDUP(L48/L42/$B$23,0),ROUNDUP(L52/L42/$B$24,0),$B$25))</f>
        <v>9</v>
      </c>
      <c r="M56" s="257" t="n">
        <f aca="false">IF(M42=0,0,M42*MAX(ROUNDUP(M48/M42/$B$23,0),ROUNDUP(M52/M42/$B$24,0),$B$25))</f>
        <v>6</v>
      </c>
      <c r="N56" s="257" t="n">
        <f aca="false">SUM(B56:M56)</f>
        <v>45</v>
      </c>
      <c r="O56" s="235"/>
    </row>
    <row r="57" customFormat="false" ht="15" hidden="false" customHeight="true" outlineLevel="0" collapsed="false">
      <c r="A57" s="235" t="s">
        <v>2865</v>
      </c>
      <c r="B57" s="257" t="n">
        <f aca="false">IF(B41=0,0,B41*MAX(ROUNDUP(B49/B41/$B$23,0),ROUNDUP(B53/B41/$B$24,0),$B$25))</f>
        <v>0</v>
      </c>
      <c r="C57" s="257" t="n">
        <f aca="false">IF(C41=0,0,C41*MAX(ROUNDUP(C49/C41/$B$23,0),ROUNDUP(C53/C41/$B$24,0),$B$25))</f>
        <v>0</v>
      </c>
      <c r="D57" s="257" t="n">
        <f aca="false">IF(D41=0,0,D41*MAX(ROUNDUP(D49/D41/$B$23,0),ROUNDUP(D53/D41/$B$24,0),$B$25))</f>
        <v>0</v>
      </c>
      <c r="E57" s="257" t="n">
        <f aca="false">IF(E41=0,0,E41*MAX(ROUNDUP(E49/E41/$B$23,0),ROUNDUP(E53/E41/$B$24,0),$B$25))</f>
        <v>3</v>
      </c>
      <c r="F57" s="257" t="n">
        <f aca="false">IF(F41=0,0,F41*MAX(ROUNDUP(F49/F41/$B$23,0),ROUNDUP(F53/F41/$B$24,0),$B$25))</f>
        <v>0</v>
      </c>
      <c r="G57" s="257" t="n">
        <f aca="false">IF(G41=0,0,G41*MAX(ROUNDUP(G49/G41/$B$23,0),ROUNDUP(G53/G41/$B$24,0),$B$25))</f>
        <v>0</v>
      </c>
      <c r="H57" s="257" t="n">
        <f aca="false">IF(H41=0,0,H41*MAX(ROUNDUP(H49/H41/$B$23,0),ROUNDUP(H53/H41/$B$24,0),$B$25))</f>
        <v>0</v>
      </c>
      <c r="I57" s="257" t="n">
        <f aca="false">IF(I41=0,0,I41*MAX(ROUNDUP(I49/I41/$B$23,0),ROUNDUP(I53/I41/$B$24,0),$B$25))</f>
        <v>0</v>
      </c>
      <c r="J57" s="257" t="n">
        <f aca="false">IF(J41=0,0,J41*MAX(ROUNDUP(J49/J41/$B$23,0),ROUNDUP(J53/J41/$B$24,0),$B$25))</f>
        <v>0</v>
      </c>
      <c r="K57" s="257" t="n">
        <f aca="false">IF(K41=0,0,K41*MAX(ROUNDUP(K49/K41/$B$23,0),ROUNDUP(K53/K41/$B$24,0),$B$25))</f>
        <v>0</v>
      </c>
      <c r="L57" s="257" t="n">
        <f aca="false">IF(L41=0,0,L41*MAX(ROUNDUP(L49/L41/$B$23,0),ROUNDUP(L53/L41/$B$24,0),$B$25))</f>
        <v>0</v>
      </c>
      <c r="M57" s="257" t="n">
        <f aca="false">IF(M41=0,0,M41*MAX(ROUNDUP(M49/M41/$B$23,0),ROUNDUP(M53/M41/$B$24,0),$B$25))</f>
        <v>0</v>
      </c>
      <c r="N57" s="257" t="n">
        <f aca="false">SUM(B57:M57)</f>
        <v>3</v>
      </c>
      <c r="O57" s="235"/>
    </row>
    <row r="58" customFormat="false" ht="15" hidden="false" customHeight="true" outlineLevel="0" collapsed="false">
      <c r="A58" s="258" t="s">
        <v>2866</v>
      </c>
      <c r="B58" s="259" t="n">
        <f aca="false">B55+B56+B57</f>
        <v>9</v>
      </c>
      <c r="C58" s="259" t="n">
        <f aca="false">C55+C56+C57</f>
        <v>4</v>
      </c>
      <c r="D58" s="259" t="n">
        <f aca="false">D55+D56+D57</f>
        <v>0</v>
      </c>
      <c r="E58" s="259" t="n">
        <f aca="false">E55+E56+E57</f>
        <v>12</v>
      </c>
      <c r="F58" s="259" t="n">
        <f aca="false">F55+F56+F57</f>
        <v>9</v>
      </c>
      <c r="G58" s="259" t="n">
        <f aca="false">G55+G56+G57</f>
        <v>14</v>
      </c>
      <c r="H58" s="259" t="n">
        <f aca="false">H55+H56+H57</f>
        <v>11</v>
      </c>
      <c r="I58" s="259" t="n">
        <f aca="false">I55+I56+I57</f>
        <v>13</v>
      </c>
      <c r="J58" s="259" t="n">
        <f aca="false">J55+J56+J57</f>
        <v>18</v>
      </c>
      <c r="K58" s="259" t="n">
        <f aca="false">K55+K56+K57</f>
        <v>18</v>
      </c>
      <c r="L58" s="259" t="n">
        <f aca="false">L55+L56+L57</f>
        <v>23</v>
      </c>
      <c r="M58" s="259" t="n">
        <f aca="false">M55+M56+M57</f>
        <v>22</v>
      </c>
      <c r="N58" s="259" t="n">
        <f aca="false">SUM(B58:M58)</f>
        <v>153</v>
      </c>
      <c r="O58" s="235"/>
    </row>
    <row r="59" customFormat="false" ht="15" hidden="false" customHeight="true" outlineLevel="0" collapsed="false">
      <c r="A59" s="235" t="s">
        <v>2867</v>
      </c>
      <c r="B59" s="260" t="n">
        <f aca="false">N($B$19)+SUM($B50:B50)</f>
        <v>55</v>
      </c>
      <c r="C59" s="260" t="n">
        <f aca="false">N($B$19)+SUM($B50:C50)</f>
        <v>63</v>
      </c>
      <c r="D59" s="260" t="n">
        <f aca="false">N($B$19)+SUM($B50:D50)</f>
        <v>63</v>
      </c>
      <c r="E59" s="260" t="n">
        <f aca="false">N($B$19)+SUM($B50:E50)</f>
        <v>85</v>
      </c>
      <c r="F59" s="260" t="n">
        <f aca="false">N($B$19)+SUM($B50:F50)</f>
        <v>99</v>
      </c>
      <c r="G59" s="260" t="n">
        <f aca="false">N($B$19)+SUM($B50:G50)</f>
        <v>119</v>
      </c>
      <c r="H59" s="260" t="n">
        <f aca="false">N($B$19)+SUM($B50:H50)</f>
        <v>137</v>
      </c>
      <c r="I59" s="260" t="n">
        <f aca="false">N($B$19)+SUM($B50:I50)</f>
        <v>159</v>
      </c>
      <c r="J59" s="260" t="n">
        <f aca="false">N($B$19)+SUM($B50:J50)</f>
        <v>187</v>
      </c>
      <c r="K59" s="260" t="n">
        <f aca="false">N($B$19)+SUM($B50:K50)</f>
        <v>215</v>
      </c>
      <c r="L59" s="260" t="n">
        <f aca="false">N($B$19)+SUM($B50:L50)</f>
        <v>249</v>
      </c>
      <c r="M59" s="260" t="n">
        <f aca="false">N($B$19)+SUM($B50:M50)</f>
        <v>285</v>
      </c>
      <c r="N59" s="260"/>
      <c r="O59" s="235"/>
    </row>
    <row r="60" customFormat="false" ht="15" hidden="false" customHeight="true" outlineLevel="0" collapsed="false">
      <c r="A60" s="235" t="s">
        <v>2868</v>
      </c>
      <c r="B60" s="261" t="n">
        <f aca="false">IF(N($B$19)&gt;0,B59/$B$19-1,0)</f>
        <v>0.571428571428571</v>
      </c>
      <c r="C60" s="261" t="n">
        <f aca="false">IF(N($B$19)&gt;0,C59/$B$19-1,0)</f>
        <v>0.8</v>
      </c>
      <c r="D60" s="261" t="n">
        <f aca="false">IF(N($B$19)&gt;0,D59/$B$19-1,0)</f>
        <v>0.8</v>
      </c>
      <c r="E60" s="261" t="n">
        <f aca="false">IF(N($B$19)&gt;0,E59/$B$19-1,0)</f>
        <v>1.42857142857143</v>
      </c>
      <c r="F60" s="261" t="n">
        <f aca="false">IF(N($B$19)&gt;0,F59/$B$19-1,0)</f>
        <v>1.82857142857143</v>
      </c>
      <c r="G60" s="261" t="n">
        <f aca="false">IF(N($B$19)&gt;0,G59/$B$19-1,0)</f>
        <v>2.4</v>
      </c>
      <c r="H60" s="261" t="n">
        <f aca="false">IF(N($B$19)&gt;0,H59/$B$19-1,0)</f>
        <v>2.91428571428571</v>
      </c>
      <c r="I60" s="261" t="n">
        <f aca="false">IF(N($B$19)&gt;0,I59/$B$19-1,0)</f>
        <v>3.54285714285714</v>
      </c>
      <c r="J60" s="261" t="n">
        <f aca="false">IF(N($B$19)&gt;0,J59/$B$19-1,0)</f>
        <v>4.34285714285714</v>
      </c>
      <c r="K60" s="261" t="n">
        <f aca="false">IF(N($B$19)&gt;0,K59/$B$19-1,0)</f>
        <v>5.14285714285714</v>
      </c>
      <c r="L60" s="261" t="n">
        <f aca="false">IF(N($B$19)&gt;0,L59/$B$19-1,0)</f>
        <v>6.11428571428571</v>
      </c>
      <c r="M60" s="261" t="n">
        <f aca="false">IF(N($B$19)&gt;0,M59/$B$19-1,0)</f>
        <v>7.14285714285714</v>
      </c>
      <c r="N60" s="261"/>
      <c r="O60" s="235"/>
    </row>
    <row r="61" customFormat="false" ht="15" hidden="false" customHeight="true" outlineLevel="0" collapsed="false">
      <c r="A61" s="235"/>
      <c r="B61" s="235"/>
      <c r="C61" s="235"/>
      <c r="D61" s="235"/>
      <c r="E61" s="235"/>
      <c r="F61" s="235"/>
      <c r="G61" s="235"/>
      <c r="H61" s="235"/>
      <c r="I61" s="235"/>
      <c r="J61" s="235"/>
      <c r="K61" s="235"/>
      <c r="L61" s="235"/>
      <c r="M61" s="235"/>
      <c r="N61" s="235"/>
      <c r="O61" s="235"/>
    </row>
    <row r="62" customFormat="false" ht="27" hidden="false" customHeight="true" outlineLevel="0" collapsed="false">
      <c r="A62" s="238" t="s">
        <v>2869</v>
      </c>
      <c r="B62" s="254" t="n">
        <f aca="false">B$39</f>
        <v>46388</v>
      </c>
      <c r="C62" s="254" t="n">
        <f aca="false">C$39</f>
        <v>46419</v>
      </c>
      <c r="D62" s="254" t="n">
        <f aca="false">D$39</f>
        <v>46447</v>
      </c>
      <c r="E62" s="254" t="n">
        <f aca="false">E$39</f>
        <v>46478</v>
      </c>
      <c r="F62" s="254" t="n">
        <f aca="false">F$39</f>
        <v>46508</v>
      </c>
      <c r="G62" s="254" t="n">
        <f aca="false">G$39</f>
        <v>46539</v>
      </c>
      <c r="H62" s="254" t="n">
        <f aca="false">H$39</f>
        <v>46569</v>
      </c>
      <c r="I62" s="254" t="n">
        <f aca="false">I$39</f>
        <v>46600</v>
      </c>
      <c r="J62" s="254" t="n">
        <f aca="false">J$39</f>
        <v>46631</v>
      </c>
      <c r="K62" s="254" t="n">
        <f aca="false">K$39</f>
        <v>46661</v>
      </c>
      <c r="L62" s="254" t="n">
        <f aca="false">L$39</f>
        <v>46692</v>
      </c>
      <c r="M62" s="254" t="n">
        <f aca="false">M$39</f>
        <v>46722</v>
      </c>
      <c r="N62" s="255" t="s">
        <v>2870</v>
      </c>
      <c r="O62" s="255"/>
    </row>
    <row r="63" customFormat="false" ht="15" hidden="false" customHeight="true" outlineLevel="0" collapsed="false">
      <c r="A63" s="235" t="s">
        <v>2871</v>
      </c>
      <c r="B63" s="257" t="n">
        <f aca="false">$B$37</f>
        <v>14</v>
      </c>
      <c r="C63" s="257" t="n">
        <f aca="false">$B$37</f>
        <v>14</v>
      </c>
      <c r="D63" s="257" t="n">
        <f aca="false">$B$37</f>
        <v>14</v>
      </c>
      <c r="E63" s="257" t="n">
        <f aca="false">$B$37</f>
        <v>14</v>
      </c>
      <c r="F63" s="257" t="n">
        <f aca="false">$B$37</f>
        <v>14</v>
      </c>
      <c r="G63" s="257" t="n">
        <f aca="false">$B$37</f>
        <v>14</v>
      </c>
      <c r="H63" s="257" t="n">
        <f aca="false">$B$37</f>
        <v>14</v>
      </c>
      <c r="I63" s="257" t="n">
        <f aca="false">$B$37</f>
        <v>14</v>
      </c>
      <c r="J63" s="257" t="n">
        <f aca="false">$B$37</f>
        <v>14</v>
      </c>
      <c r="K63" s="257" t="n">
        <f aca="false">$B$37</f>
        <v>14</v>
      </c>
      <c r="L63" s="257" t="n">
        <f aca="false">$B$37</f>
        <v>14</v>
      </c>
      <c r="M63" s="257" t="n">
        <f aca="false">$B$37</f>
        <v>14</v>
      </c>
      <c r="N63" s="257" t="n">
        <f aca="false">AVERAGE(B63:M63)</f>
        <v>14</v>
      </c>
      <c r="O63" s="235"/>
    </row>
    <row r="64" customFormat="false" ht="15" hidden="false" customHeight="true" outlineLevel="0" collapsed="false">
      <c r="A64" s="235" t="s">
        <v>2872</v>
      </c>
      <c r="B64" s="256" t="n">
        <f aca="false">'Fld Ops Payroll'!F30</f>
        <v>5</v>
      </c>
      <c r="C64" s="256" t="n">
        <f aca="false">'Fld Ops Payroll'!G30</f>
        <v>5</v>
      </c>
      <c r="D64" s="256" t="n">
        <f aca="false">'Fld Ops Payroll'!H30</f>
        <v>8</v>
      </c>
      <c r="E64" s="256" t="n">
        <f aca="false">'Fld Ops Payroll'!I30</f>
        <v>11</v>
      </c>
      <c r="F64" s="256" t="n">
        <f aca="false">'Fld Ops Payroll'!J30</f>
        <v>15</v>
      </c>
      <c r="G64" s="256" t="n">
        <f aca="false">'Fld Ops Payroll'!K30</f>
        <v>19</v>
      </c>
      <c r="H64" s="256" t="n">
        <f aca="false">'Fld Ops Payroll'!L30</f>
        <v>24</v>
      </c>
      <c r="I64" s="256" t="n">
        <f aca="false">'Fld Ops Payroll'!M30</f>
        <v>30</v>
      </c>
      <c r="J64" s="256" t="n">
        <f aca="false">'Fld Ops Payroll'!N30</f>
        <v>36</v>
      </c>
      <c r="K64" s="256" t="n">
        <f aca="false">'Fld Ops Payroll'!O30</f>
        <v>43</v>
      </c>
      <c r="L64" s="256" t="n">
        <f aca="false">'Fld Ops Payroll'!P30</f>
        <v>51</v>
      </c>
      <c r="M64" s="256" t="n">
        <f aca="false">'Fld Ops Payroll'!Q30</f>
        <v>58</v>
      </c>
      <c r="N64" s="257" t="n">
        <f aca="false">AVERAGE(B64:M64)</f>
        <v>25.4166666666667</v>
      </c>
      <c r="O64" s="235"/>
    </row>
    <row r="65" customFormat="false" ht="15" hidden="false" customHeight="true" outlineLevel="0" collapsed="false">
      <c r="A65" s="235" t="s">
        <v>2873</v>
      </c>
      <c r="B65" s="256" t="n">
        <f aca="false">'Fld Ops Payroll'!F41</f>
        <v>0</v>
      </c>
      <c r="C65" s="256" t="n">
        <f aca="false">'Fld Ops Payroll'!G41</f>
        <v>0</v>
      </c>
      <c r="D65" s="256" t="n">
        <f aca="false">'Fld Ops Payroll'!H41</f>
        <v>1</v>
      </c>
      <c r="E65" s="256" t="n">
        <f aca="false">'Fld Ops Payroll'!I41</f>
        <v>1</v>
      </c>
      <c r="F65" s="256" t="n">
        <f aca="false">'Fld Ops Payroll'!J41</f>
        <v>2</v>
      </c>
      <c r="G65" s="256" t="n">
        <f aca="false">'Fld Ops Payroll'!K41</f>
        <v>3</v>
      </c>
      <c r="H65" s="256" t="n">
        <f aca="false">'Fld Ops Payroll'!L41</f>
        <v>4</v>
      </c>
      <c r="I65" s="256" t="n">
        <f aca="false">'Fld Ops Payroll'!M41</f>
        <v>5</v>
      </c>
      <c r="J65" s="256" t="n">
        <f aca="false">'Fld Ops Payroll'!N41</f>
        <v>6</v>
      </c>
      <c r="K65" s="256" t="n">
        <f aca="false">'Fld Ops Payroll'!O41</f>
        <v>8</v>
      </c>
      <c r="L65" s="256" t="n">
        <f aca="false">'Fld Ops Payroll'!P41</f>
        <v>9</v>
      </c>
      <c r="M65" s="256" t="n">
        <f aca="false">'Fld Ops Payroll'!Q41</f>
        <v>10</v>
      </c>
      <c r="N65" s="257" t="n">
        <f aca="false">AVERAGE(B65:M65)</f>
        <v>4.08333333333333</v>
      </c>
      <c r="O65" s="235"/>
    </row>
    <row r="66" customFormat="false" ht="15" hidden="false" customHeight="true" outlineLevel="0" collapsed="false">
      <c r="A66" s="235" t="s">
        <v>2874</v>
      </c>
      <c r="B66" s="256" t="n">
        <f aca="false">'Fld Ops Payroll'!F54</f>
        <v>0</v>
      </c>
      <c r="C66" s="256" t="n">
        <f aca="false">'Fld Ops Payroll'!G54</f>
        <v>0</v>
      </c>
      <c r="D66" s="256" t="n">
        <f aca="false">'Fld Ops Payroll'!H54</f>
        <v>0</v>
      </c>
      <c r="E66" s="256" t="n">
        <f aca="false">'Fld Ops Payroll'!I54</f>
        <v>0</v>
      </c>
      <c r="F66" s="256" t="n">
        <f aca="false">'Fld Ops Payroll'!J54</f>
        <v>0</v>
      </c>
      <c r="G66" s="256" t="n">
        <f aca="false">'Fld Ops Payroll'!K54</f>
        <v>0</v>
      </c>
      <c r="H66" s="256" t="n">
        <f aca="false">'Fld Ops Payroll'!L54</f>
        <v>0</v>
      </c>
      <c r="I66" s="256" t="n">
        <f aca="false">'Fld Ops Payroll'!M54</f>
        <v>0</v>
      </c>
      <c r="J66" s="256" t="n">
        <f aca="false">'Fld Ops Payroll'!N54</f>
        <v>0</v>
      </c>
      <c r="K66" s="256" t="n">
        <f aca="false">'Fld Ops Payroll'!O54</f>
        <v>0</v>
      </c>
      <c r="L66" s="256" t="n">
        <f aca="false">'Fld Ops Payroll'!P54</f>
        <v>0</v>
      </c>
      <c r="M66" s="256" t="n">
        <f aca="false">'Fld Ops Payroll'!Q54</f>
        <v>0</v>
      </c>
      <c r="N66" s="257" t="n">
        <f aca="false">AVERAGE(B66:M66)</f>
        <v>0</v>
      </c>
      <c r="O66" s="235"/>
    </row>
    <row r="67" customFormat="false" ht="15" hidden="false" customHeight="true" outlineLevel="0" collapsed="false">
      <c r="A67" s="235" t="s">
        <v>2875</v>
      </c>
      <c r="B67" s="257" t="n">
        <f aca="false">-IF(B$39&gt;=$B$14,$B$15,0)</f>
        <v>-0</v>
      </c>
      <c r="C67" s="257" t="n">
        <f aca="false">-IF(C$39&gt;=$B$14,$B$15,0)</f>
        <v>-0</v>
      </c>
      <c r="D67" s="257" t="n">
        <f aca="false">-IF(D$39&gt;=$B$14,$B$15,0)</f>
        <v>-3</v>
      </c>
      <c r="E67" s="257" t="n">
        <f aca="false">-IF(E$39&gt;=$B$14,$B$15,0)</f>
        <v>-3</v>
      </c>
      <c r="F67" s="257" t="n">
        <f aca="false">-IF(F$39&gt;=$B$14,$B$15,0)</f>
        <v>-3</v>
      </c>
      <c r="G67" s="257" t="n">
        <f aca="false">-IF(G$39&gt;=$B$14,$B$15,0)</f>
        <v>-3</v>
      </c>
      <c r="H67" s="257" t="n">
        <f aca="false">-IF(H$39&gt;=$B$14,$B$15,0)</f>
        <v>-3</v>
      </c>
      <c r="I67" s="257" t="n">
        <f aca="false">-IF(I$39&gt;=$B$14,$B$15,0)</f>
        <v>-3</v>
      </c>
      <c r="J67" s="257" t="n">
        <f aca="false">-IF(J$39&gt;=$B$14,$B$15,0)</f>
        <v>-3</v>
      </c>
      <c r="K67" s="257" t="n">
        <f aca="false">-IF(K$39&gt;=$B$14,$B$15,0)</f>
        <v>-3</v>
      </c>
      <c r="L67" s="257" t="n">
        <f aca="false">-IF(L$39&gt;=$B$14,$B$15,0)</f>
        <v>-3</v>
      </c>
      <c r="M67" s="257" t="n">
        <f aca="false">-IF(M$39&gt;=$B$14,$B$15,0)</f>
        <v>-3</v>
      </c>
      <c r="N67" s="257" t="n">
        <f aca="false">AVERAGE(B67:M67)</f>
        <v>-2.5</v>
      </c>
      <c r="O67" s="235"/>
    </row>
    <row r="68" customFormat="false" ht="15" hidden="false" customHeight="true" outlineLevel="0" collapsed="false">
      <c r="A68" s="258" t="s">
        <v>2876</v>
      </c>
      <c r="B68" s="259" t="n">
        <f aca="false">SUM(B63:B67)</f>
        <v>19</v>
      </c>
      <c r="C68" s="259" t="n">
        <f aca="false">SUM(C63:C67)</f>
        <v>19</v>
      </c>
      <c r="D68" s="259" t="n">
        <f aca="false">SUM(D63:D67)</f>
        <v>20</v>
      </c>
      <c r="E68" s="259" t="n">
        <f aca="false">SUM(E63:E67)</f>
        <v>23</v>
      </c>
      <c r="F68" s="259" t="n">
        <f aca="false">SUM(F63:F67)</f>
        <v>28</v>
      </c>
      <c r="G68" s="259" t="n">
        <f aca="false">SUM(G63:G67)</f>
        <v>33</v>
      </c>
      <c r="H68" s="259" t="n">
        <f aca="false">SUM(H63:H67)</f>
        <v>39</v>
      </c>
      <c r="I68" s="259" t="n">
        <f aca="false">SUM(I63:I67)</f>
        <v>46</v>
      </c>
      <c r="J68" s="259" t="n">
        <f aca="false">SUM(J63:J67)</f>
        <v>53</v>
      </c>
      <c r="K68" s="259" t="n">
        <f aca="false">SUM(K63:K67)</f>
        <v>62</v>
      </c>
      <c r="L68" s="259" t="n">
        <f aca="false">SUM(L63:L67)</f>
        <v>71</v>
      </c>
      <c r="M68" s="259" t="n">
        <f aca="false">SUM(M63:M67)</f>
        <v>79</v>
      </c>
      <c r="N68" s="259" t="n">
        <f aca="false">AVERAGE(B68:M68)</f>
        <v>41</v>
      </c>
      <c r="O68" s="235"/>
    </row>
    <row r="69" customFormat="false" ht="15" hidden="false" customHeight="true" outlineLevel="0" collapsed="false">
      <c r="A69" s="235" t="s">
        <v>2877</v>
      </c>
      <c r="B69" s="256" t="n">
        <f aca="false">'Fld Ops Payroll'!F67</f>
        <v>1</v>
      </c>
      <c r="C69" s="256" t="n">
        <f aca="false">'Fld Ops Payroll'!G67</f>
        <v>1</v>
      </c>
      <c r="D69" s="256" t="n">
        <f aca="false">'Fld Ops Payroll'!H67</f>
        <v>2</v>
      </c>
      <c r="E69" s="256" t="n">
        <f aca="false">'Fld Ops Payroll'!I67</f>
        <v>2</v>
      </c>
      <c r="F69" s="256" t="n">
        <f aca="false">'Fld Ops Payroll'!J67</f>
        <v>2</v>
      </c>
      <c r="G69" s="256" t="n">
        <f aca="false">'Fld Ops Payroll'!K67</f>
        <v>2</v>
      </c>
      <c r="H69" s="256" t="n">
        <f aca="false">'Fld Ops Payroll'!L67</f>
        <v>3</v>
      </c>
      <c r="I69" s="256" t="n">
        <f aca="false">'Fld Ops Payroll'!M67</f>
        <v>3</v>
      </c>
      <c r="J69" s="256" t="n">
        <f aca="false">'Fld Ops Payroll'!N67</f>
        <v>3</v>
      </c>
      <c r="K69" s="256" t="n">
        <f aca="false">'Fld Ops Payroll'!O67</f>
        <v>4</v>
      </c>
      <c r="L69" s="256" t="n">
        <f aca="false">'Fld Ops Payroll'!P67</f>
        <v>4</v>
      </c>
      <c r="M69" s="256" t="n">
        <f aca="false">'Fld Ops Payroll'!Q67</f>
        <v>5</v>
      </c>
      <c r="N69" s="257" t="n">
        <f aca="false">AVERAGE(B69:M69)</f>
        <v>2.66666666666667</v>
      </c>
      <c r="O69" s="235"/>
    </row>
    <row r="70" customFormat="false" ht="15" hidden="false" customHeight="true" outlineLevel="0" collapsed="false">
      <c r="A70" s="235" t="s">
        <v>2878</v>
      </c>
      <c r="B70" s="257" t="n">
        <f aca="false">$B$30</f>
        <v>7</v>
      </c>
      <c r="C70" s="257" t="n">
        <f aca="false">$B$30</f>
        <v>7</v>
      </c>
      <c r="D70" s="257" t="n">
        <f aca="false">$B$30</f>
        <v>7</v>
      </c>
      <c r="E70" s="257" t="n">
        <f aca="false">$B$30</f>
        <v>7</v>
      </c>
      <c r="F70" s="257" t="n">
        <f aca="false">$B$30</f>
        <v>7</v>
      </c>
      <c r="G70" s="257" t="n">
        <f aca="false">$B$30</f>
        <v>7</v>
      </c>
      <c r="H70" s="257" t="n">
        <f aca="false">$B$30</f>
        <v>7</v>
      </c>
      <c r="I70" s="257" t="n">
        <f aca="false">$B$30</f>
        <v>7</v>
      </c>
      <c r="J70" s="257" t="n">
        <f aca="false">$B$30</f>
        <v>7</v>
      </c>
      <c r="K70" s="257" t="n">
        <f aca="false">$B$30</f>
        <v>7</v>
      </c>
      <c r="L70" s="257" t="n">
        <f aca="false">$B$30</f>
        <v>7</v>
      </c>
      <c r="M70" s="257" t="n">
        <f aca="false">$B$30</f>
        <v>7</v>
      </c>
      <c r="N70" s="257" t="n">
        <f aca="false">AVERAGE(B70:M70)</f>
        <v>7</v>
      </c>
      <c r="O70" s="235"/>
    </row>
    <row r="71" customFormat="false" ht="15" hidden="false" customHeight="true" outlineLevel="0" collapsed="false">
      <c r="A71" s="235" t="s">
        <v>2879</v>
      </c>
      <c r="B71" s="257" t="n">
        <f aca="false">IF(B$39&gt;=$B$14,$B$13,0)</f>
        <v>0</v>
      </c>
      <c r="C71" s="257" t="n">
        <f aca="false">IF(C$39&gt;=$B$14,$B$13,0)</f>
        <v>0</v>
      </c>
      <c r="D71" s="257" t="n">
        <f aca="false">IF(D$39&gt;=$B$14,$B$13,0)</f>
        <v>3</v>
      </c>
      <c r="E71" s="257" t="n">
        <f aca="false">IF(E$39&gt;=$B$14,$B$13,0)</f>
        <v>3</v>
      </c>
      <c r="F71" s="257" t="n">
        <f aca="false">IF(F$39&gt;=$B$14,$B$13,0)</f>
        <v>3</v>
      </c>
      <c r="G71" s="257" t="n">
        <f aca="false">IF(G$39&gt;=$B$14,$B$13,0)</f>
        <v>3</v>
      </c>
      <c r="H71" s="257" t="n">
        <f aca="false">IF(H$39&gt;=$B$14,$B$13,0)</f>
        <v>3</v>
      </c>
      <c r="I71" s="257" t="n">
        <f aca="false">IF(I$39&gt;=$B$14,$B$13,0)</f>
        <v>3</v>
      </c>
      <c r="J71" s="257" t="n">
        <f aca="false">IF(J$39&gt;=$B$14,$B$13,0)</f>
        <v>3</v>
      </c>
      <c r="K71" s="257" t="n">
        <f aca="false">IF(K$39&gt;=$B$14,$B$13,0)</f>
        <v>3</v>
      </c>
      <c r="L71" s="257" t="n">
        <f aca="false">IF(L$39&gt;=$B$14,$B$13,0)</f>
        <v>3</v>
      </c>
      <c r="M71" s="257" t="n">
        <f aca="false">IF(M$39&gt;=$B$14,$B$13,0)</f>
        <v>3</v>
      </c>
      <c r="N71" s="257" t="n">
        <f aca="false">AVERAGE(B71:M71)</f>
        <v>2.5</v>
      </c>
      <c r="O71" s="235"/>
    </row>
    <row r="72" customFormat="false" ht="15" hidden="false" customHeight="true" outlineLevel="0" collapsed="false">
      <c r="A72" s="235" t="s">
        <v>2880</v>
      </c>
      <c r="B72" s="257" t="n">
        <f aca="false">$B$12</f>
        <v>1</v>
      </c>
      <c r="C72" s="257" t="n">
        <f aca="false">$B$12</f>
        <v>1</v>
      </c>
      <c r="D72" s="257" t="n">
        <f aca="false">$B$12</f>
        <v>1</v>
      </c>
      <c r="E72" s="257" t="n">
        <f aca="false">$B$12</f>
        <v>1</v>
      </c>
      <c r="F72" s="257" t="n">
        <f aca="false">$B$12</f>
        <v>1</v>
      </c>
      <c r="G72" s="257" t="n">
        <f aca="false">$B$12</f>
        <v>1</v>
      </c>
      <c r="H72" s="257" t="n">
        <f aca="false">$B$12</f>
        <v>1</v>
      </c>
      <c r="I72" s="257" t="n">
        <f aca="false">$B$12</f>
        <v>1</v>
      </c>
      <c r="J72" s="257" t="n">
        <f aca="false">$B$12</f>
        <v>1</v>
      </c>
      <c r="K72" s="257" t="n">
        <f aca="false">$B$12</f>
        <v>1</v>
      </c>
      <c r="L72" s="257" t="n">
        <f aca="false">$B$12</f>
        <v>1</v>
      </c>
      <c r="M72" s="257" t="n">
        <f aca="false">$B$12</f>
        <v>1</v>
      </c>
      <c r="N72" s="257" t="n">
        <f aca="false">AVERAGE(B72:M72)</f>
        <v>1</v>
      </c>
      <c r="O72" s="235"/>
    </row>
    <row r="73" customFormat="false" ht="15" hidden="false" customHeight="true" outlineLevel="0" collapsed="false">
      <c r="A73" s="258" t="s">
        <v>2881</v>
      </c>
      <c r="B73" s="259" t="n">
        <f aca="false">B70+B71+B72</f>
        <v>8</v>
      </c>
      <c r="C73" s="259" t="n">
        <f aca="false">C70+C71+C72</f>
        <v>8</v>
      </c>
      <c r="D73" s="259" t="n">
        <f aca="false">D70+D71+D72</f>
        <v>11</v>
      </c>
      <c r="E73" s="259" t="n">
        <f aca="false">E70+E71+E72</f>
        <v>11</v>
      </c>
      <c r="F73" s="259" t="n">
        <f aca="false">F70+F71+F72</f>
        <v>11</v>
      </c>
      <c r="G73" s="259" t="n">
        <f aca="false">G70+G71+G72</f>
        <v>11</v>
      </c>
      <c r="H73" s="259" t="n">
        <f aca="false">H70+H71+H72</f>
        <v>11</v>
      </c>
      <c r="I73" s="259" t="n">
        <f aca="false">I70+I71+I72</f>
        <v>11</v>
      </c>
      <c r="J73" s="259" t="n">
        <f aca="false">J70+J71+J72</f>
        <v>11</v>
      </c>
      <c r="K73" s="259" t="n">
        <f aca="false">K70+K71+K72</f>
        <v>11</v>
      </c>
      <c r="L73" s="259" t="n">
        <f aca="false">L70+L71+L72</f>
        <v>11</v>
      </c>
      <c r="M73" s="259" t="n">
        <f aca="false">M70+M71+M72</f>
        <v>11</v>
      </c>
      <c r="N73" s="259" t="n">
        <f aca="false">AVERAGE(B73:M73)</f>
        <v>10.5</v>
      </c>
      <c r="O73" s="235"/>
    </row>
    <row r="74" customFormat="false" ht="15" hidden="false" customHeight="true" outlineLevel="0" collapsed="false">
      <c r="A74" s="235"/>
      <c r="B74" s="235"/>
      <c r="C74" s="235"/>
      <c r="D74" s="235"/>
      <c r="E74" s="235"/>
      <c r="F74" s="235"/>
      <c r="G74" s="235"/>
      <c r="H74" s="235"/>
      <c r="I74" s="235"/>
      <c r="J74" s="235"/>
      <c r="K74" s="235"/>
      <c r="L74" s="235"/>
      <c r="M74" s="235"/>
      <c r="N74" s="235"/>
      <c r="O74" s="235"/>
    </row>
    <row r="75" customFormat="false" ht="27" hidden="false" customHeight="true" outlineLevel="0" collapsed="false">
      <c r="A75" s="238" t="s">
        <v>2882</v>
      </c>
      <c r="B75" s="254" t="n">
        <f aca="false">B$39</f>
        <v>46388</v>
      </c>
      <c r="C75" s="254" t="n">
        <f aca="false">C$39</f>
        <v>46419</v>
      </c>
      <c r="D75" s="254" t="n">
        <f aca="false">D$39</f>
        <v>46447</v>
      </c>
      <c r="E75" s="254" t="n">
        <f aca="false">E$39</f>
        <v>46478</v>
      </c>
      <c r="F75" s="254" t="n">
        <f aca="false">F$39</f>
        <v>46508</v>
      </c>
      <c r="G75" s="254" t="n">
        <f aca="false">G$39</f>
        <v>46539</v>
      </c>
      <c r="H75" s="254" t="n">
        <f aca="false">H$39</f>
        <v>46569</v>
      </c>
      <c r="I75" s="254" t="n">
        <f aca="false">I$39</f>
        <v>46600</v>
      </c>
      <c r="J75" s="254" t="n">
        <f aca="false">J$39</f>
        <v>46631</v>
      </c>
      <c r="K75" s="254" t="n">
        <f aca="false">K$39</f>
        <v>46661</v>
      </c>
      <c r="L75" s="254" t="n">
        <f aca="false">L$39</f>
        <v>46692</v>
      </c>
      <c r="M75" s="254" t="n">
        <f aca="false">M$39</f>
        <v>46722</v>
      </c>
      <c r="N75" s="255" t="s">
        <v>2325</v>
      </c>
      <c r="O75" s="255" t="s">
        <v>704</v>
      </c>
      <c r="P75" s="183" t="s">
        <v>2299</v>
      </c>
    </row>
    <row r="76" customFormat="false" ht="15" hidden="false" customHeight="true" outlineLevel="0" collapsed="false">
      <c r="A76" s="235" t="s">
        <v>2883</v>
      </c>
      <c r="B76" s="262" t="n">
        <f aca="false">B46*$B$5</f>
        <v>2279.7</v>
      </c>
      <c r="C76" s="262" t="n">
        <f aca="false">C46*$B$5</f>
        <v>1519.8</v>
      </c>
      <c r="D76" s="262" t="n">
        <f aca="false">D46*$B$5</f>
        <v>0</v>
      </c>
      <c r="E76" s="262" t="n">
        <f aca="false">E46*$B$5</f>
        <v>3495.54</v>
      </c>
      <c r="F76" s="262" t="n">
        <f aca="false">F46*$B$5</f>
        <v>2735.64</v>
      </c>
      <c r="G76" s="262" t="n">
        <f aca="false">G46*$B$5</f>
        <v>3951.48</v>
      </c>
      <c r="H76" s="262" t="n">
        <f aca="false">H46*$B$5</f>
        <v>3495.54</v>
      </c>
      <c r="I76" s="262" t="n">
        <f aca="false">I46*$B$5</f>
        <v>4255.44</v>
      </c>
      <c r="J76" s="262" t="n">
        <f aca="false">J46*$B$5</f>
        <v>5471.28</v>
      </c>
      <c r="K76" s="262" t="n">
        <f aca="false">K46*$B$5</f>
        <v>5471.28</v>
      </c>
      <c r="L76" s="262" t="n">
        <f aca="false">L46*$B$5</f>
        <v>6687.12</v>
      </c>
      <c r="M76" s="262" t="n">
        <f aca="false">M46*$B$5</f>
        <v>6991.08</v>
      </c>
      <c r="N76" s="262" t="n">
        <f aca="false">SUM(B76:M76)</f>
        <v>46353.9</v>
      </c>
      <c r="O76" s="263" t="n">
        <v>5050</v>
      </c>
    </row>
    <row r="77" customFormat="false" ht="15" hidden="false" customHeight="true" outlineLevel="0" collapsed="false">
      <c r="A77" s="235" t="s">
        <v>2884</v>
      </c>
      <c r="B77" s="262" t="n">
        <f aca="false">$B$7</f>
        <v>3992</v>
      </c>
      <c r="C77" s="262" t="n">
        <f aca="false">$B$7</f>
        <v>3992</v>
      </c>
      <c r="D77" s="262" t="n">
        <f aca="false">$B$7</f>
        <v>3992</v>
      </c>
      <c r="E77" s="262" t="n">
        <f aca="false">$B$7</f>
        <v>3992</v>
      </c>
      <c r="F77" s="262" t="n">
        <f aca="false">$B$7</f>
        <v>3992</v>
      </c>
      <c r="G77" s="262" t="n">
        <f aca="false">$B$7</f>
        <v>3992</v>
      </c>
      <c r="H77" s="262" t="n">
        <f aca="false">$B$7</f>
        <v>3992</v>
      </c>
      <c r="I77" s="262" t="n">
        <f aca="false">$B$7</f>
        <v>3992</v>
      </c>
      <c r="J77" s="262" t="n">
        <f aca="false">$B$7</f>
        <v>3992</v>
      </c>
      <c r="K77" s="262" t="n">
        <f aca="false">$B$7</f>
        <v>3992</v>
      </c>
      <c r="L77" s="262" t="n">
        <f aca="false">$B$7</f>
        <v>3992</v>
      </c>
      <c r="M77" s="262" t="n">
        <f aca="false">$B$7</f>
        <v>3992</v>
      </c>
      <c r="N77" s="262" t="n">
        <f aca="false">SUM(B77:M77)</f>
        <v>47904</v>
      </c>
      <c r="O77" s="263" t="n">
        <v>5360</v>
      </c>
    </row>
    <row r="78" customFormat="false" ht="15" hidden="false" customHeight="true" outlineLevel="0" collapsed="false">
      <c r="A78" s="235" t="s">
        <v>2885</v>
      </c>
      <c r="B78" s="262" t="n">
        <f aca="false">B45*$B$8</f>
        <v>13500</v>
      </c>
      <c r="C78" s="262" t="n">
        <f aca="false">C45*$B$8</f>
        <v>9000</v>
      </c>
      <c r="D78" s="262" t="n">
        <f aca="false">D45*$B$8</f>
        <v>0</v>
      </c>
      <c r="E78" s="262" t="n">
        <f aca="false">E45*$B$8</f>
        <v>20700</v>
      </c>
      <c r="F78" s="262" t="n">
        <f aca="false">F45*$B$8</f>
        <v>16200</v>
      </c>
      <c r="G78" s="262" t="n">
        <f aca="false">G45*$B$8</f>
        <v>23400</v>
      </c>
      <c r="H78" s="262" t="n">
        <f aca="false">H45*$B$8</f>
        <v>20700</v>
      </c>
      <c r="I78" s="262" t="n">
        <f aca="false">I45*$B$8</f>
        <v>25200</v>
      </c>
      <c r="J78" s="262" t="n">
        <f aca="false">J45*$B$8</f>
        <v>32400</v>
      </c>
      <c r="K78" s="262" t="n">
        <f aca="false">K45*$B$8</f>
        <v>32400</v>
      </c>
      <c r="L78" s="262" t="n">
        <f aca="false">L45*$B$8</f>
        <v>39600</v>
      </c>
      <c r="M78" s="262" t="n">
        <f aca="false">M45*$B$8</f>
        <v>41400</v>
      </c>
      <c r="N78" s="262" t="n">
        <f aca="false">SUM(B78:M78)</f>
        <v>274500</v>
      </c>
      <c r="O78" s="263" t="n">
        <v>5330</v>
      </c>
      <c r="P78" s="183" t="s">
        <v>2886</v>
      </c>
    </row>
    <row r="79" customFormat="false" ht="15" hidden="false" customHeight="true" outlineLevel="0" collapsed="false">
      <c r="A79" s="235" t="s">
        <v>2887</v>
      </c>
      <c r="B79" s="262" t="n">
        <f aca="false">B68*$B$9</f>
        <v>524.02</v>
      </c>
      <c r="C79" s="262" t="n">
        <f aca="false">C68*$B$9</f>
        <v>524.02</v>
      </c>
      <c r="D79" s="262" t="n">
        <f aca="false">D68*$B$9</f>
        <v>551.6</v>
      </c>
      <c r="E79" s="262" t="n">
        <f aca="false">E68*$B$9</f>
        <v>634.34</v>
      </c>
      <c r="F79" s="262" t="n">
        <f aca="false">F68*$B$9</f>
        <v>772.24</v>
      </c>
      <c r="G79" s="262" t="n">
        <f aca="false">G68*$B$9</f>
        <v>910.14</v>
      </c>
      <c r="H79" s="262" t="n">
        <f aca="false">H68*$B$9</f>
        <v>1075.62</v>
      </c>
      <c r="I79" s="262" t="n">
        <f aca="false">I68*$B$9</f>
        <v>1268.68</v>
      </c>
      <c r="J79" s="262" t="n">
        <f aca="false">J68*$B$9</f>
        <v>1461.74</v>
      </c>
      <c r="K79" s="262" t="n">
        <f aca="false">K68*$B$9</f>
        <v>1709.96</v>
      </c>
      <c r="L79" s="262" t="n">
        <f aca="false">L68*$B$9</f>
        <v>1958.18</v>
      </c>
      <c r="M79" s="262" t="n">
        <f aca="false">M68*$B$9</f>
        <v>2178.82</v>
      </c>
      <c r="N79" s="262" t="n">
        <f aca="false">SUM(B79:M79)</f>
        <v>13569.36</v>
      </c>
      <c r="O79" s="263" t="n">
        <v>5330</v>
      </c>
    </row>
    <row r="80" customFormat="false" ht="15" hidden="false" customHeight="true" outlineLevel="0" collapsed="false">
      <c r="A80" s="235" t="s">
        <v>2888</v>
      </c>
      <c r="B80" s="262" t="n">
        <f aca="false">$B$18*(1+B60)</f>
        <v>48713.6175428571</v>
      </c>
      <c r="C80" s="262" t="n">
        <f aca="false">$B$18*(1+C60)</f>
        <v>55799.23464</v>
      </c>
      <c r="D80" s="262" t="n">
        <f aca="false">$B$18*(1+D60)</f>
        <v>55799.23464</v>
      </c>
      <c r="E80" s="262" t="n">
        <f aca="false">$B$18*(1+E60)</f>
        <v>75284.6816571429</v>
      </c>
      <c r="F80" s="262" t="n">
        <f aca="false">$B$18*(1+F60)</f>
        <v>87684.5115771429</v>
      </c>
      <c r="G80" s="262" t="n">
        <f aca="false">$B$18*(1+G60)</f>
        <v>105398.55432</v>
      </c>
      <c r="H80" s="262" t="n">
        <f aca="false">$B$18*(1+H60)</f>
        <v>121341.192788571</v>
      </c>
      <c r="I80" s="262" t="n">
        <f aca="false">$B$18*(1+I60)</f>
        <v>140826.639805714</v>
      </c>
      <c r="J80" s="262" t="n">
        <f aca="false">$B$18*(1+J60)</f>
        <v>165626.299645714</v>
      </c>
      <c r="K80" s="262" t="n">
        <f aca="false">$B$18*(1+K60)</f>
        <v>190425.959485714</v>
      </c>
      <c r="L80" s="262" t="n">
        <f aca="false">$B$18*(1+L60)</f>
        <v>220539.832148571</v>
      </c>
      <c r="M80" s="262" t="n">
        <f aca="false">$B$18*(1+M60)</f>
        <v>252425.109085714</v>
      </c>
      <c r="N80" s="262" t="n">
        <f aca="false">SUM(B80:M80)</f>
        <v>1519864.86733714</v>
      </c>
      <c r="O80" s="263" t="n">
        <v>5340</v>
      </c>
    </row>
    <row r="81" customFormat="false" ht="15" hidden="false" customHeight="true" outlineLevel="0" collapsed="false">
      <c r="A81" s="235" t="s">
        <v>2812</v>
      </c>
      <c r="B81" s="262" t="n">
        <f aca="false">B80*$B$20</f>
        <v>2581.82172977143</v>
      </c>
      <c r="C81" s="262" t="n">
        <f aca="false">C80*$B$20</f>
        <v>2957.35943592</v>
      </c>
      <c r="D81" s="262" t="n">
        <f aca="false">D80*$B$20</f>
        <v>2957.35943592</v>
      </c>
      <c r="E81" s="262" t="n">
        <f aca="false">E80*$B$20</f>
        <v>3990.08812782857</v>
      </c>
      <c r="F81" s="262" t="n">
        <f aca="false">F80*$B$20</f>
        <v>4647.27911358857</v>
      </c>
      <c r="G81" s="262" t="n">
        <f aca="false">G80*$B$20</f>
        <v>5586.12337896</v>
      </c>
      <c r="H81" s="262" t="n">
        <f aca="false">H80*$B$20</f>
        <v>6431.08321779429</v>
      </c>
      <c r="I81" s="262" t="n">
        <f aca="false">I80*$B$20</f>
        <v>7463.81190970286</v>
      </c>
      <c r="J81" s="262" t="n">
        <f aca="false">J80*$B$20</f>
        <v>8778.19388122286</v>
      </c>
      <c r="K81" s="262" t="n">
        <f aca="false">K80*$B$20</f>
        <v>10092.5758527429</v>
      </c>
      <c r="L81" s="262" t="n">
        <f aca="false">L80*$B$20</f>
        <v>11688.6111038743</v>
      </c>
      <c r="M81" s="262" t="n">
        <f aca="false">M80*$B$20</f>
        <v>13378.5307815429</v>
      </c>
      <c r="N81" s="262" t="n">
        <f aca="false">SUM(B81:M81)</f>
        <v>80552.8379688686</v>
      </c>
      <c r="O81" s="263" t="n">
        <v>5320</v>
      </c>
    </row>
    <row r="82" customFormat="false" ht="15" hidden="false" customHeight="true" outlineLevel="0" collapsed="false">
      <c r="A82" s="235" t="s">
        <v>2815</v>
      </c>
      <c r="B82" s="262" t="n">
        <f aca="false">$B$21</f>
        <v>2604</v>
      </c>
      <c r="C82" s="262" t="n">
        <f aca="false">$B$21</f>
        <v>2604</v>
      </c>
      <c r="D82" s="262" t="n">
        <f aca="false">$B$21</f>
        <v>2604</v>
      </c>
      <c r="E82" s="262" t="n">
        <f aca="false">$B$21</f>
        <v>2604</v>
      </c>
      <c r="F82" s="262" t="n">
        <f aca="false">$B$21</f>
        <v>2604</v>
      </c>
      <c r="G82" s="262" t="n">
        <f aca="false">$B$21</f>
        <v>2604</v>
      </c>
      <c r="H82" s="262" t="n">
        <f aca="false">$B$21</f>
        <v>2604</v>
      </c>
      <c r="I82" s="262" t="n">
        <f aca="false">$B$21</f>
        <v>2604</v>
      </c>
      <c r="J82" s="262" t="n">
        <f aca="false">$B$21</f>
        <v>2604</v>
      </c>
      <c r="K82" s="262" t="n">
        <f aca="false">$B$21</f>
        <v>2604</v>
      </c>
      <c r="L82" s="262" t="n">
        <f aca="false">$B$21</f>
        <v>2604</v>
      </c>
      <c r="M82" s="262" t="n">
        <f aca="false">$B$21</f>
        <v>2604</v>
      </c>
      <c r="N82" s="262" t="n">
        <f aca="false">SUM(B82:M82)</f>
        <v>31248</v>
      </c>
      <c r="O82" s="263" t="n">
        <v>5320</v>
      </c>
    </row>
    <row r="83" customFormat="false" ht="15" hidden="false" customHeight="true" outlineLevel="0" collapsed="false">
      <c r="A83" s="235" t="s">
        <v>2889</v>
      </c>
      <c r="B83" s="262" t="n">
        <f aca="false">B58*$B$22</f>
        <v>45000</v>
      </c>
      <c r="C83" s="262" t="n">
        <f aca="false">C58*$B$22</f>
        <v>20000</v>
      </c>
      <c r="D83" s="262" t="n">
        <f aca="false">D58*$B$22</f>
        <v>0</v>
      </c>
      <c r="E83" s="262" t="n">
        <f aca="false">E58*$B$22</f>
        <v>60000</v>
      </c>
      <c r="F83" s="262" t="n">
        <f aca="false">F58*$B$22</f>
        <v>45000</v>
      </c>
      <c r="G83" s="262" t="n">
        <f aca="false">G58*$B$22</f>
        <v>70000</v>
      </c>
      <c r="H83" s="262" t="n">
        <f aca="false">H58*$B$22</f>
        <v>55000</v>
      </c>
      <c r="I83" s="262" t="n">
        <f aca="false">I58*$B$22</f>
        <v>65000</v>
      </c>
      <c r="J83" s="262" t="n">
        <f aca="false">J58*$B$22</f>
        <v>90000</v>
      </c>
      <c r="K83" s="262" t="n">
        <f aca="false">K58*$B$22</f>
        <v>90000</v>
      </c>
      <c r="L83" s="262" t="n">
        <f aca="false">L58*$B$22</f>
        <v>115000</v>
      </c>
      <c r="M83" s="262" t="n">
        <f aca="false">M58*$B$22</f>
        <v>110000</v>
      </c>
      <c r="N83" s="262" t="n">
        <f aca="false">SUM(B83:M83)</f>
        <v>765000</v>
      </c>
      <c r="O83" s="263" t="n">
        <v>5040</v>
      </c>
    </row>
    <row r="84" customFormat="false" ht="15" hidden="false" customHeight="true" outlineLevel="0" collapsed="false">
      <c r="A84" s="235" t="s">
        <v>2890</v>
      </c>
      <c r="B84" s="262" t="n">
        <f aca="false">(B70+B71)*$B$10+B72*$B$11</f>
        <v>37614</v>
      </c>
      <c r="C84" s="262" t="n">
        <f aca="false">(C70+C71)*$B$10+C72*$B$11</f>
        <v>37614</v>
      </c>
      <c r="D84" s="262" t="n">
        <f aca="false">(D70+D71)*$B$10+D72*$B$11</f>
        <v>50004</v>
      </c>
      <c r="E84" s="262" t="n">
        <f aca="false">(E70+E71)*$B$10+E72*$B$11</f>
        <v>50004</v>
      </c>
      <c r="F84" s="262" t="n">
        <f aca="false">(F70+F71)*$B$10+F72*$B$11</f>
        <v>50004</v>
      </c>
      <c r="G84" s="262" t="n">
        <f aca="false">(G70+G71)*$B$10+G72*$B$11</f>
        <v>50004</v>
      </c>
      <c r="H84" s="262" t="n">
        <f aca="false">(H70+H71)*$B$10+H72*$B$11</f>
        <v>50004</v>
      </c>
      <c r="I84" s="262" t="n">
        <f aca="false">(I70+I71)*$B$10+I72*$B$11</f>
        <v>50004</v>
      </c>
      <c r="J84" s="262" t="n">
        <f aca="false">(J70+J71)*$B$10+J72*$B$11</f>
        <v>50004</v>
      </c>
      <c r="K84" s="262" t="n">
        <f aca="false">(K70+K71)*$B$10+K72*$B$11</f>
        <v>50004</v>
      </c>
      <c r="L84" s="262" t="n">
        <f aca="false">(L70+L71)*$B$10+L72*$B$11</f>
        <v>50004</v>
      </c>
      <c r="M84" s="262" t="n">
        <f aca="false">(M70+M71)*$B$10+M72*$B$11</f>
        <v>50004</v>
      </c>
      <c r="N84" s="262" t="n">
        <f aca="false">SUM(B84:M84)</f>
        <v>575268</v>
      </c>
      <c r="O84" s="263" t="n">
        <v>5310</v>
      </c>
    </row>
    <row r="85" customFormat="false" ht="15" hidden="false" customHeight="true" outlineLevel="0" collapsed="false">
      <c r="A85" s="235" t="s">
        <v>2825</v>
      </c>
      <c r="B85" s="262" t="n">
        <f aca="false">$B$26</f>
        <v>3000</v>
      </c>
      <c r="C85" s="262" t="n">
        <f aca="false">$B$26</f>
        <v>3000</v>
      </c>
      <c r="D85" s="262" t="n">
        <f aca="false">$B$26</f>
        <v>3000</v>
      </c>
      <c r="E85" s="262" t="n">
        <f aca="false">$B$26</f>
        <v>3000</v>
      </c>
      <c r="F85" s="262" t="n">
        <f aca="false">$B$26</f>
        <v>3000</v>
      </c>
      <c r="G85" s="262" t="n">
        <f aca="false">$B$26</f>
        <v>3000</v>
      </c>
      <c r="H85" s="262" t="n">
        <f aca="false">$B$26</f>
        <v>3000</v>
      </c>
      <c r="I85" s="262" t="n">
        <f aca="false">$B$26</f>
        <v>3000</v>
      </c>
      <c r="J85" s="262" t="n">
        <f aca="false">$B$26</f>
        <v>3000</v>
      </c>
      <c r="K85" s="262" t="n">
        <f aca="false">$B$26</f>
        <v>3000</v>
      </c>
      <c r="L85" s="262" t="n">
        <f aca="false">$B$26</f>
        <v>3000</v>
      </c>
      <c r="M85" s="262" t="n">
        <f aca="false">$B$26</f>
        <v>3000</v>
      </c>
      <c r="N85" s="262" t="n">
        <f aca="false">SUM(B85:M85)</f>
        <v>36000</v>
      </c>
      <c r="O85" s="263" t="n">
        <v>5350</v>
      </c>
    </row>
    <row r="86" customFormat="false" ht="15" hidden="false" customHeight="true" outlineLevel="0" collapsed="false">
      <c r="A86" s="264" t="s">
        <v>2891</v>
      </c>
      <c r="B86" s="265" t="n">
        <f aca="false">SUM(B76:B85)</f>
        <v>159809.159272629</v>
      </c>
      <c r="C86" s="265" t="n">
        <f aca="false">SUM(C76:C85)</f>
        <v>137010.41407592</v>
      </c>
      <c r="D86" s="265" t="n">
        <f aca="false">SUM(D76:D85)</f>
        <v>118908.19407592</v>
      </c>
      <c r="E86" s="265" t="n">
        <f aca="false">SUM(E76:E85)</f>
        <v>223704.649784971</v>
      </c>
      <c r="F86" s="265" t="n">
        <f aca="false">SUM(F76:F85)</f>
        <v>216639.670690731</v>
      </c>
      <c r="G86" s="265" t="n">
        <f aca="false">SUM(G76:G85)</f>
        <v>268846.29769896</v>
      </c>
      <c r="H86" s="265" t="n">
        <f aca="false">SUM(H76:H85)</f>
        <v>267643.436006366</v>
      </c>
      <c r="I86" s="265" t="n">
        <f aca="false">SUM(I76:I85)</f>
        <v>303614.571715417</v>
      </c>
      <c r="J86" s="265" t="n">
        <f aca="false">SUM(J76:J85)</f>
        <v>363337.513526937</v>
      </c>
      <c r="K86" s="265" t="n">
        <f aca="false">SUM(K76:K85)</f>
        <v>389699.775338457</v>
      </c>
      <c r="L86" s="265" t="n">
        <f aca="false">SUM(L76:L85)</f>
        <v>455073.743252446</v>
      </c>
      <c r="M86" s="265" t="n">
        <f aca="false">SUM(M76:M85)</f>
        <v>485973.539867257</v>
      </c>
      <c r="N86" s="265" t="n">
        <f aca="false">SUM(B86:M86)</f>
        <v>3390260.96530601</v>
      </c>
      <c r="O86" s="235"/>
    </row>
    <row r="87" customFormat="false" ht="15" hidden="false" customHeight="true" outlineLevel="0" collapsed="false">
      <c r="A87" s="235"/>
      <c r="B87" s="262"/>
      <c r="C87" s="262"/>
      <c r="D87" s="262"/>
      <c r="E87" s="262"/>
      <c r="F87" s="262"/>
      <c r="G87" s="262"/>
      <c r="H87" s="262"/>
      <c r="I87" s="262"/>
      <c r="J87" s="262"/>
      <c r="K87" s="262"/>
      <c r="L87" s="262"/>
      <c r="M87" s="262"/>
      <c r="N87" s="262"/>
      <c r="O87" s="235"/>
    </row>
    <row r="88" customFormat="false" ht="27" hidden="false" customHeight="true" outlineLevel="0" collapsed="false">
      <c r="A88" s="238" t="s">
        <v>2892</v>
      </c>
      <c r="B88" s="254" t="n">
        <f aca="false">B$39</f>
        <v>46388</v>
      </c>
      <c r="C88" s="254" t="n">
        <f aca="false">C$39</f>
        <v>46419</v>
      </c>
      <c r="D88" s="254" t="n">
        <f aca="false">D$39</f>
        <v>46447</v>
      </c>
      <c r="E88" s="254" t="n">
        <f aca="false">E$39</f>
        <v>46478</v>
      </c>
      <c r="F88" s="254" t="n">
        <f aca="false">F$39</f>
        <v>46508</v>
      </c>
      <c r="G88" s="254" t="n">
        <f aca="false">G$39</f>
        <v>46539</v>
      </c>
      <c r="H88" s="254" t="n">
        <f aca="false">H$39</f>
        <v>46569</v>
      </c>
      <c r="I88" s="254" t="n">
        <f aca="false">I$39</f>
        <v>46600</v>
      </c>
      <c r="J88" s="254" t="n">
        <f aca="false">J$39</f>
        <v>46631</v>
      </c>
      <c r="K88" s="254" t="n">
        <f aca="false">K$39</f>
        <v>46661</v>
      </c>
      <c r="L88" s="254" t="n">
        <f aca="false">L$39</f>
        <v>46692</v>
      </c>
      <c r="M88" s="254" t="n">
        <f aca="false">M$39</f>
        <v>46722</v>
      </c>
      <c r="N88" s="266" t="s">
        <v>2325</v>
      </c>
      <c r="O88" s="255"/>
    </row>
    <row r="89" customFormat="false" ht="15" hidden="false" customHeight="true" outlineLevel="0" collapsed="false">
      <c r="A89" s="235" t="s">
        <v>2183</v>
      </c>
      <c r="B89" s="262" t="n">
        <f aca="false">SUMIF($O$76:$O$85,5040,B$76:B$85)</f>
        <v>45000</v>
      </c>
      <c r="C89" s="262" t="n">
        <f aca="false">SUMIF($O$76:$O$85,5040,C$76:C$85)</f>
        <v>20000</v>
      </c>
      <c r="D89" s="262" t="n">
        <f aca="false">SUMIF($O$76:$O$85,5040,D$76:D$85)</f>
        <v>0</v>
      </c>
      <c r="E89" s="262" t="n">
        <f aca="false">SUMIF($O$76:$O$85,5040,E$76:E$85)</f>
        <v>60000</v>
      </c>
      <c r="F89" s="262" t="n">
        <f aca="false">SUMIF($O$76:$O$85,5040,F$76:F$85)</f>
        <v>45000</v>
      </c>
      <c r="G89" s="262" t="n">
        <f aca="false">SUMIF($O$76:$O$85,5040,G$76:G$85)</f>
        <v>70000</v>
      </c>
      <c r="H89" s="262" t="n">
        <f aca="false">SUMIF($O$76:$O$85,5040,H$76:H$85)</f>
        <v>55000</v>
      </c>
      <c r="I89" s="262" t="n">
        <f aca="false">SUMIF($O$76:$O$85,5040,I$76:I$85)</f>
        <v>65000</v>
      </c>
      <c r="J89" s="262" t="n">
        <f aca="false">SUMIF($O$76:$O$85,5040,J$76:J$85)</f>
        <v>90000</v>
      </c>
      <c r="K89" s="262" t="n">
        <f aca="false">SUMIF($O$76:$O$85,5040,K$76:K$85)</f>
        <v>90000</v>
      </c>
      <c r="L89" s="262" t="n">
        <f aca="false">SUMIF($O$76:$O$85,5040,L$76:L$85)</f>
        <v>115000</v>
      </c>
      <c r="M89" s="262" t="n">
        <f aca="false">SUMIF($O$76:$O$85,5040,M$76:M$85)</f>
        <v>110000</v>
      </c>
      <c r="N89" s="262" t="n">
        <f aca="false">SUM(B89:M89)</f>
        <v>765000</v>
      </c>
      <c r="O89" s="235"/>
    </row>
    <row r="90" customFormat="false" ht="15" hidden="false" customHeight="true" outlineLevel="0" collapsed="false">
      <c r="A90" s="235" t="s">
        <v>2184</v>
      </c>
      <c r="B90" s="262" t="n">
        <f aca="false">SUMIF($O$76:$O$85,5050,B$76:B$85)</f>
        <v>2279.7</v>
      </c>
      <c r="C90" s="262" t="n">
        <f aca="false">SUMIF($O$76:$O$85,5050,C$76:C$85)</f>
        <v>1519.8</v>
      </c>
      <c r="D90" s="262" t="n">
        <f aca="false">SUMIF($O$76:$O$85,5050,D$76:D$85)</f>
        <v>0</v>
      </c>
      <c r="E90" s="262" t="n">
        <f aca="false">SUMIF($O$76:$O$85,5050,E$76:E$85)</f>
        <v>3495.54</v>
      </c>
      <c r="F90" s="262" t="n">
        <f aca="false">SUMIF($O$76:$O$85,5050,F$76:F$85)</f>
        <v>2735.64</v>
      </c>
      <c r="G90" s="262" t="n">
        <f aca="false">SUMIF($O$76:$O$85,5050,G$76:G$85)</f>
        <v>3951.48</v>
      </c>
      <c r="H90" s="262" t="n">
        <f aca="false">SUMIF($O$76:$O$85,5050,H$76:H$85)</f>
        <v>3495.54</v>
      </c>
      <c r="I90" s="262" t="n">
        <f aca="false">SUMIF($O$76:$O$85,5050,I$76:I$85)</f>
        <v>4255.44</v>
      </c>
      <c r="J90" s="262" t="n">
        <f aca="false">SUMIF($O$76:$O$85,5050,J$76:J$85)</f>
        <v>5471.28</v>
      </c>
      <c r="K90" s="262" t="n">
        <f aca="false">SUMIF($O$76:$O$85,5050,K$76:K$85)</f>
        <v>5471.28</v>
      </c>
      <c r="L90" s="262" t="n">
        <f aca="false">SUMIF($O$76:$O$85,5050,L$76:L$85)</f>
        <v>6687.12</v>
      </c>
      <c r="M90" s="262" t="n">
        <f aca="false">SUMIF($O$76:$O$85,5050,M$76:M$85)</f>
        <v>6991.08</v>
      </c>
      <c r="N90" s="262" t="n">
        <f aca="false">SUM(B90:M90)</f>
        <v>46353.9</v>
      </c>
      <c r="O90" s="235"/>
    </row>
    <row r="91" customFormat="false" ht="15" hidden="false" customHeight="true" outlineLevel="0" collapsed="false">
      <c r="A91" s="235" t="s">
        <v>2198</v>
      </c>
      <c r="B91" s="262" t="n">
        <f aca="false">SUMIF($O$76:$O$85,5310,B$76:B$85)</f>
        <v>37614</v>
      </c>
      <c r="C91" s="262" t="n">
        <f aca="false">SUMIF($O$76:$O$85,5310,C$76:C$85)</f>
        <v>37614</v>
      </c>
      <c r="D91" s="262" t="n">
        <f aca="false">SUMIF($O$76:$O$85,5310,D$76:D$85)</f>
        <v>50004</v>
      </c>
      <c r="E91" s="262" t="n">
        <f aca="false">SUMIF($O$76:$O$85,5310,E$76:E$85)</f>
        <v>50004</v>
      </c>
      <c r="F91" s="262" t="n">
        <f aca="false">SUMIF($O$76:$O$85,5310,F$76:F$85)</f>
        <v>50004</v>
      </c>
      <c r="G91" s="262" t="n">
        <f aca="false">SUMIF($O$76:$O$85,5310,G$76:G$85)</f>
        <v>50004</v>
      </c>
      <c r="H91" s="262" t="n">
        <f aca="false">SUMIF($O$76:$O$85,5310,H$76:H$85)</f>
        <v>50004</v>
      </c>
      <c r="I91" s="262" t="n">
        <f aca="false">SUMIF($O$76:$O$85,5310,I$76:I$85)</f>
        <v>50004</v>
      </c>
      <c r="J91" s="262" t="n">
        <f aca="false">SUMIF($O$76:$O$85,5310,J$76:J$85)</f>
        <v>50004</v>
      </c>
      <c r="K91" s="262" t="n">
        <f aca="false">SUMIF($O$76:$O$85,5310,K$76:K$85)</f>
        <v>50004</v>
      </c>
      <c r="L91" s="262" t="n">
        <f aca="false">SUMIF($O$76:$O$85,5310,L$76:L$85)</f>
        <v>50004</v>
      </c>
      <c r="M91" s="262" t="n">
        <f aca="false">SUMIF($O$76:$O$85,5310,M$76:M$85)</f>
        <v>50004</v>
      </c>
      <c r="N91" s="262" t="n">
        <f aca="false">SUM(B91:M91)</f>
        <v>575268</v>
      </c>
      <c r="O91" s="235"/>
    </row>
    <row r="92" customFormat="false" ht="15" hidden="false" customHeight="true" outlineLevel="0" collapsed="false">
      <c r="A92" s="235" t="s">
        <v>2199</v>
      </c>
      <c r="B92" s="262" t="n">
        <f aca="false">SUMIF($O$76:$O$85,5320,B$76:B$85)</f>
        <v>5185.82172977143</v>
      </c>
      <c r="C92" s="262" t="n">
        <f aca="false">SUMIF($O$76:$O$85,5320,C$76:C$85)</f>
        <v>5561.35943592</v>
      </c>
      <c r="D92" s="262" t="n">
        <f aca="false">SUMIF($O$76:$O$85,5320,D$76:D$85)</f>
        <v>5561.35943592</v>
      </c>
      <c r="E92" s="262" t="n">
        <f aca="false">SUMIF($O$76:$O$85,5320,E$76:E$85)</f>
        <v>6594.08812782857</v>
      </c>
      <c r="F92" s="262" t="n">
        <f aca="false">SUMIF($O$76:$O$85,5320,F$76:F$85)</f>
        <v>7251.27911358857</v>
      </c>
      <c r="G92" s="262" t="n">
        <f aca="false">SUMIF($O$76:$O$85,5320,G$76:G$85)</f>
        <v>8190.12337896</v>
      </c>
      <c r="H92" s="262" t="n">
        <f aca="false">SUMIF($O$76:$O$85,5320,H$76:H$85)</f>
        <v>9035.08321779429</v>
      </c>
      <c r="I92" s="262" t="n">
        <f aca="false">SUMIF($O$76:$O$85,5320,I$76:I$85)</f>
        <v>10067.8119097029</v>
      </c>
      <c r="J92" s="262" t="n">
        <f aca="false">SUMIF($O$76:$O$85,5320,J$76:J$85)</f>
        <v>11382.1938812229</v>
      </c>
      <c r="K92" s="262" t="n">
        <f aca="false">SUMIF($O$76:$O$85,5320,K$76:K$85)</f>
        <v>12696.5758527429</v>
      </c>
      <c r="L92" s="262" t="n">
        <f aca="false">SUMIF($O$76:$O$85,5320,L$76:L$85)</f>
        <v>14292.6111038743</v>
      </c>
      <c r="M92" s="262" t="n">
        <f aca="false">SUMIF($O$76:$O$85,5320,M$76:M$85)</f>
        <v>15982.5307815429</v>
      </c>
      <c r="N92" s="262" t="n">
        <f aca="false">SUM(B92:M92)</f>
        <v>111800.837968869</v>
      </c>
      <c r="O92" s="235"/>
    </row>
    <row r="93" customFormat="false" ht="15" hidden="false" customHeight="true" outlineLevel="0" collapsed="false">
      <c r="A93" s="235" t="s">
        <v>2200</v>
      </c>
      <c r="B93" s="262" t="n">
        <f aca="false">SUMIF($O$76:$O$85,5330,B$76:B$85)</f>
        <v>14024.02</v>
      </c>
      <c r="C93" s="262" t="n">
        <f aca="false">SUMIF($O$76:$O$85,5330,C$76:C$85)</f>
        <v>9524.02</v>
      </c>
      <c r="D93" s="262" t="n">
        <f aca="false">SUMIF($O$76:$O$85,5330,D$76:D$85)</f>
        <v>551.6</v>
      </c>
      <c r="E93" s="262" t="n">
        <f aca="false">SUMIF($O$76:$O$85,5330,E$76:E$85)</f>
        <v>21334.34</v>
      </c>
      <c r="F93" s="262" t="n">
        <f aca="false">SUMIF($O$76:$O$85,5330,F$76:F$85)</f>
        <v>16972.24</v>
      </c>
      <c r="G93" s="262" t="n">
        <f aca="false">SUMIF($O$76:$O$85,5330,G$76:G$85)</f>
        <v>24310.14</v>
      </c>
      <c r="H93" s="262" t="n">
        <f aca="false">SUMIF($O$76:$O$85,5330,H$76:H$85)</f>
        <v>21775.62</v>
      </c>
      <c r="I93" s="262" t="n">
        <f aca="false">SUMIF($O$76:$O$85,5330,I$76:I$85)</f>
        <v>26468.68</v>
      </c>
      <c r="J93" s="262" t="n">
        <f aca="false">SUMIF($O$76:$O$85,5330,J$76:J$85)</f>
        <v>33861.74</v>
      </c>
      <c r="K93" s="262" t="n">
        <f aca="false">SUMIF($O$76:$O$85,5330,K$76:K$85)</f>
        <v>34109.96</v>
      </c>
      <c r="L93" s="262" t="n">
        <f aca="false">SUMIF($O$76:$O$85,5330,L$76:L$85)</f>
        <v>41558.18</v>
      </c>
      <c r="M93" s="262" t="n">
        <f aca="false">SUMIF($O$76:$O$85,5330,M$76:M$85)</f>
        <v>43578.82</v>
      </c>
      <c r="N93" s="262" t="n">
        <f aca="false">SUM(B93:M93)</f>
        <v>288069.36</v>
      </c>
      <c r="O93" s="235"/>
    </row>
    <row r="94" customFormat="false" ht="15" hidden="false" customHeight="true" outlineLevel="0" collapsed="false">
      <c r="A94" s="235" t="s">
        <v>2201</v>
      </c>
      <c r="B94" s="262" t="n">
        <f aca="false">SUMIF($O$76:$O$85,5340,B$76:B$85)</f>
        <v>48713.6175428571</v>
      </c>
      <c r="C94" s="262" t="n">
        <f aca="false">SUMIF($O$76:$O$85,5340,C$76:C$85)</f>
        <v>55799.23464</v>
      </c>
      <c r="D94" s="262" t="n">
        <f aca="false">SUMIF($O$76:$O$85,5340,D$76:D$85)</f>
        <v>55799.23464</v>
      </c>
      <c r="E94" s="262" t="n">
        <f aca="false">SUMIF($O$76:$O$85,5340,E$76:E$85)</f>
        <v>75284.6816571429</v>
      </c>
      <c r="F94" s="262" t="n">
        <f aca="false">SUMIF($O$76:$O$85,5340,F$76:F$85)</f>
        <v>87684.5115771429</v>
      </c>
      <c r="G94" s="262" t="n">
        <f aca="false">SUMIF($O$76:$O$85,5340,G$76:G$85)</f>
        <v>105398.55432</v>
      </c>
      <c r="H94" s="262" t="n">
        <f aca="false">SUMIF($O$76:$O$85,5340,H$76:H$85)</f>
        <v>121341.192788571</v>
      </c>
      <c r="I94" s="262" t="n">
        <f aca="false">SUMIF($O$76:$O$85,5340,I$76:I$85)</f>
        <v>140826.639805714</v>
      </c>
      <c r="J94" s="262" t="n">
        <f aca="false">SUMIF($O$76:$O$85,5340,J$76:J$85)</f>
        <v>165626.299645714</v>
      </c>
      <c r="K94" s="262" t="n">
        <f aca="false">SUMIF($O$76:$O$85,5340,K$76:K$85)</f>
        <v>190425.959485714</v>
      </c>
      <c r="L94" s="262" t="n">
        <f aca="false">SUMIF($O$76:$O$85,5340,L$76:L$85)</f>
        <v>220539.832148571</v>
      </c>
      <c r="M94" s="262" t="n">
        <f aca="false">SUMIF($O$76:$O$85,5340,M$76:M$85)</f>
        <v>252425.109085714</v>
      </c>
      <c r="N94" s="262" t="n">
        <f aca="false">SUM(B94:M94)</f>
        <v>1519864.86733714</v>
      </c>
      <c r="O94" s="235"/>
    </row>
    <row r="95" customFormat="false" ht="15" hidden="false" customHeight="true" outlineLevel="0" collapsed="false">
      <c r="A95" s="235" t="s">
        <v>2202</v>
      </c>
      <c r="B95" s="262" t="n">
        <f aca="false">SUMIF($O$76:$O$85,5350,B$76:B$85)</f>
        <v>3000</v>
      </c>
      <c r="C95" s="262" t="n">
        <f aca="false">SUMIF($O$76:$O$85,5350,C$76:C$85)</f>
        <v>3000</v>
      </c>
      <c r="D95" s="262" t="n">
        <f aca="false">SUMIF($O$76:$O$85,5350,D$76:D$85)</f>
        <v>3000</v>
      </c>
      <c r="E95" s="262" t="n">
        <f aca="false">SUMIF($O$76:$O$85,5350,E$76:E$85)</f>
        <v>3000</v>
      </c>
      <c r="F95" s="262" t="n">
        <f aca="false">SUMIF($O$76:$O$85,5350,F$76:F$85)</f>
        <v>3000</v>
      </c>
      <c r="G95" s="262" t="n">
        <f aca="false">SUMIF($O$76:$O$85,5350,G$76:G$85)</f>
        <v>3000</v>
      </c>
      <c r="H95" s="262" t="n">
        <f aca="false">SUMIF($O$76:$O$85,5350,H$76:H$85)</f>
        <v>3000</v>
      </c>
      <c r="I95" s="262" t="n">
        <f aca="false">SUMIF($O$76:$O$85,5350,I$76:I$85)</f>
        <v>3000</v>
      </c>
      <c r="J95" s="262" t="n">
        <f aca="false">SUMIF($O$76:$O$85,5350,J$76:J$85)</f>
        <v>3000</v>
      </c>
      <c r="K95" s="262" t="n">
        <f aca="false">SUMIF($O$76:$O$85,5350,K$76:K$85)</f>
        <v>3000</v>
      </c>
      <c r="L95" s="262" t="n">
        <f aca="false">SUMIF($O$76:$O$85,5350,L$76:L$85)</f>
        <v>3000</v>
      </c>
      <c r="M95" s="262" t="n">
        <f aca="false">SUMIF($O$76:$O$85,5350,M$76:M$85)</f>
        <v>3000</v>
      </c>
      <c r="N95" s="262" t="n">
        <f aca="false">SUM(B95:M95)</f>
        <v>36000</v>
      </c>
      <c r="O95" s="235"/>
    </row>
    <row r="96" customFormat="false" ht="15" hidden="false" customHeight="true" outlineLevel="0" collapsed="false">
      <c r="A96" s="235" t="s">
        <v>2203</v>
      </c>
      <c r="B96" s="262" t="n">
        <f aca="false">SUMIF($O$76:$O$85,5360,B$76:B$85)</f>
        <v>3992</v>
      </c>
      <c r="C96" s="262" t="n">
        <f aca="false">SUMIF($O$76:$O$85,5360,C$76:C$85)</f>
        <v>3992</v>
      </c>
      <c r="D96" s="262" t="n">
        <f aca="false">SUMIF($O$76:$O$85,5360,D$76:D$85)</f>
        <v>3992</v>
      </c>
      <c r="E96" s="262" t="n">
        <f aca="false">SUMIF($O$76:$O$85,5360,E$76:E$85)</f>
        <v>3992</v>
      </c>
      <c r="F96" s="262" t="n">
        <f aca="false">SUMIF($O$76:$O$85,5360,F$76:F$85)</f>
        <v>3992</v>
      </c>
      <c r="G96" s="262" t="n">
        <f aca="false">SUMIF($O$76:$O$85,5360,G$76:G$85)</f>
        <v>3992</v>
      </c>
      <c r="H96" s="262" t="n">
        <f aca="false">SUMIF($O$76:$O$85,5360,H$76:H$85)</f>
        <v>3992</v>
      </c>
      <c r="I96" s="262" t="n">
        <f aca="false">SUMIF($O$76:$O$85,5360,I$76:I$85)</f>
        <v>3992</v>
      </c>
      <c r="J96" s="262" t="n">
        <f aca="false">SUMIF($O$76:$O$85,5360,J$76:J$85)</f>
        <v>3992</v>
      </c>
      <c r="K96" s="262" t="n">
        <f aca="false">SUMIF($O$76:$O$85,5360,K$76:K$85)</f>
        <v>3992</v>
      </c>
      <c r="L96" s="262" t="n">
        <f aca="false">SUMIF($O$76:$O$85,5360,L$76:L$85)</f>
        <v>3992</v>
      </c>
      <c r="M96" s="262" t="n">
        <f aca="false">SUMIF($O$76:$O$85,5360,M$76:M$85)</f>
        <v>3992</v>
      </c>
      <c r="N96" s="262" t="n">
        <f aca="false">SUM(B96:M96)</f>
        <v>47904</v>
      </c>
      <c r="O96" s="235"/>
    </row>
    <row r="97" customFormat="false" ht="15" hidden="false" customHeight="true" outlineLevel="0" collapsed="false">
      <c r="A97" s="264" t="s">
        <v>2893</v>
      </c>
      <c r="B97" s="265" t="n">
        <f aca="false">SUM(B89:B96)</f>
        <v>159809.159272629</v>
      </c>
      <c r="C97" s="265" t="n">
        <f aca="false">SUM(C89:C96)</f>
        <v>137010.41407592</v>
      </c>
      <c r="D97" s="265" t="n">
        <f aca="false">SUM(D89:D96)</f>
        <v>118908.19407592</v>
      </c>
      <c r="E97" s="265" t="n">
        <f aca="false">SUM(E89:E96)</f>
        <v>223704.649784971</v>
      </c>
      <c r="F97" s="265" t="n">
        <f aca="false">SUM(F89:F96)</f>
        <v>216639.670690731</v>
      </c>
      <c r="G97" s="265" t="n">
        <f aca="false">SUM(G89:G96)</f>
        <v>268846.29769896</v>
      </c>
      <c r="H97" s="265" t="n">
        <f aca="false">SUM(H89:H96)</f>
        <v>267643.436006366</v>
      </c>
      <c r="I97" s="265" t="n">
        <f aca="false">SUM(I89:I96)</f>
        <v>303614.571715417</v>
      </c>
      <c r="J97" s="265" t="n">
        <f aca="false">SUM(J89:J96)</f>
        <v>363337.513526937</v>
      </c>
      <c r="K97" s="265" t="n">
        <f aca="false">SUM(K89:K96)</f>
        <v>389699.775338457</v>
      </c>
      <c r="L97" s="265" t="n">
        <f aca="false">SUM(L89:L96)</f>
        <v>455073.743252446</v>
      </c>
      <c r="M97" s="265" t="n">
        <f aca="false">SUM(M89:M96)</f>
        <v>485973.539867257</v>
      </c>
      <c r="N97" s="265" t="n">
        <f aca="false">SUM(B97:M97)</f>
        <v>3390260.96530601</v>
      </c>
      <c r="O97" s="235"/>
    </row>
    <row r="98" customFormat="false" ht="15" hidden="false" customHeight="true" outlineLevel="0" collapsed="false">
      <c r="A98" s="235" t="s">
        <v>2894</v>
      </c>
      <c r="B98" s="262" t="n">
        <f aca="false">ROUND(B97-B86,0)</f>
        <v>0</v>
      </c>
      <c r="C98" s="262" t="n">
        <f aca="false">ROUND(C97-C86,0)</f>
        <v>0</v>
      </c>
      <c r="D98" s="262" t="n">
        <f aca="false">ROUND(D97-D86,0)</f>
        <v>0</v>
      </c>
      <c r="E98" s="262" t="n">
        <f aca="false">ROUND(E97-E86,0)</f>
        <v>0</v>
      </c>
      <c r="F98" s="262" t="n">
        <f aca="false">ROUND(F97-F86,0)</f>
        <v>0</v>
      </c>
      <c r="G98" s="262" t="n">
        <f aca="false">ROUND(G97-G86,0)</f>
        <v>0</v>
      </c>
      <c r="H98" s="262" t="n">
        <f aca="false">ROUND(H97-H86,0)</f>
        <v>0</v>
      </c>
      <c r="I98" s="262" t="n">
        <f aca="false">ROUND(I97-I86,0)</f>
        <v>0</v>
      </c>
      <c r="J98" s="262" t="n">
        <f aca="false">ROUND(J97-J86,0)</f>
        <v>0</v>
      </c>
      <c r="K98" s="262" t="n">
        <f aca="false">ROUND(K97-K86,0)</f>
        <v>0</v>
      </c>
      <c r="L98" s="262" t="n">
        <f aca="false">ROUND(L97-L86,0)</f>
        <v>0</v>
      </c>
      <c r="M98" s="262" t="n">
        <f aca="false">ROUND(M97-M86,0)</f>
        <v>0</v>
      </c>
      <c r="N98" s="262" t="n">
        <f aca="false">SUM(B98:M98)</f>
        <v>0</v>
      </c>
      <c r="O98" s="235"/>
    </row>
    <row r="99" customFormat="false" ht="15" hidden="false" customHeight="true" outlineLevel="0" collapsed="false">
      <c r="A99" s="267" t="s">
        <v>2895</v>
      </c>
      <c r="B99" s="235"/>
      <c r="C99" s="235"/>
      <c r="D99" s="235"/>
      <c r="E99" s="235"/>
      <c r="F99" s="235"/>
      <c r="G99" s="235"/>
      <c r="H99" s="235"/>
      <c r="I99" s="235"/>
      <c r="J99" s="235"/>
      <c r="K99" s="235"/>
      <c r="L99" s="235"/>
      <c r="M99" s="235"/>
      <c r="N99" s="235"/>
      <c r="O99" s="235"/>
    </row>
    <row r="100" customFormat="false" ht="15" hidden="false" customHeight="true" outlineLevel="0" collapsed="false">
      <c r="A100" s="235"/>
      <c r="B100" s="235"/>
      <c r="C100" s="235"/>
      <c r="D100" s="235"/>
      <c r="E100" s="235"/>
      <c r="F100" s="235"/>
      <c r="G100" s="235"/>
      <c r="H100" s="235"/>
      <c r="I100" s="235"/>
      <c r="J100" s="235"/>
      <c r="K100" s="235"/>
      <c r="L100" s="235"/>
      <c r="M100" s="235"/>
      <c r="N100" s="235"/>
      <c r="O100" s="235"/>
    </row>
    <row r="101" customFormat="false" ht="27" hidden="false" customHeight="true" outlineLevel="0" collapsed="false">
      <c r="A101" s="238"/>
      <c r="B101" s="254"/>
      <c r="C101" s="254"/>
      <c r="D101" s="254"/>
      <c r="E101" s="254"/>
      <c r="F101" s="254"/>
      <c r="G101" s="254"/>
      <c r="H101" s="254"/>
      <c r="I101" s="254"/>
      <c r="J101" s="254"/>
      <c r="K101" s="254"/>
      <c r="L101" s="254"/>
      <c r="M101" s="254"/>
      <c r="N101" s="266"/>
      <c r="O101" s="235"/>
    </row>
    <row r="102" customFormat="false" ht="27" hidden="false" customHeight="true" outlineLevel="0" collapsed="false">
      <c r="A102" s="235"/>
      <c r="B102" s="262"/>
      <c r="C102" s="262"/>
      <c r="D102" s="262"/>
      <c r="E102" s="262"/>
      <c r="F102" s="262"/>
      <c r="G102" s="262"/>
      <c r="H102" s="262"/>
      <c r="I102" s="262"/>
      <c r="J102" s="262"/>
      <c r="K102" s="262"/>
      <c r="L102" s="262"/>
      <c r="M102" s="262"/>
      <c r="N102" s="262"/>
      <c r="O102" s="235"/>
    </row>
    <row r="103" customFormat="false" ht="27" hidden="false" customHeight="true" outlineLevel="0" collapsed="false">
      <c r="A103" s="235"/>
      <c r="B103" s="262"/>
      <c r="C103" s="262"/>
      <c r="D103" s="262"/>
      <c r="E103" s="262"/>
      <c r="F103" s="262"/>
      <c r="G103" s="262"/>
      <c r="H103" s="262"/>
      <c r="I103" s="262"/>
      <c r="J103" s="262"/>
      <c r="K103" s="262"/>
      <c r="L103" s="262"/>
      <c r="M103" s="262"/>
      <c r="N103" s="262"/>
      <c r="O103" s="235"/>
    </row>
    <row r="104" customFormat="false" ht="27" hidden="false" customHeight="true" outlineLevel="0" collapsed="false">
      <c r="A104" s="235"/>
      <c r="B104" s="262"/>
      <c r="C104" s="262"/>
      <c r="D104" s="262"/>
      <c r="E104" s="262"/>
      <c r="F104" s="262"/>
      <c r="G104" s="262"/>
      <c r="H104" s="262"/>
      <c r="I104" s="262"/>
      <c r="J104" s="262"/>
      <c r="K104" s="262"/>
      <c r="L104" s="262"/>
      <c r="M104" s="262"/>
      <c r="N104" s="262"/>
      <c r="O104" s="235"/>
    </row>
    <row r="105" customFormat="false" ht="27" hidden="false" customHeight="true" outlineLevel="0" collapsed="false">
      <c r="A105" s="235"/>
      <c r="B105" s="262"/>
      <c r="C105" s="262"/>
      <c r="D105" s="262"/>
      <c r="E105" s="262"/>
      <c r="F105" s="262"/>
      <c r="G105" s="262"/>
      <c r="H105" s="262"/>
      <c r="I105" s="262"/>
      <c r="J105" s="262"/>
      <c r="K105" s="262"/>
      <c r="L105" s="262"/>
      <c r="M105" s="262"/>
      <c r="N105" s="262"/>
      <c r="O105" s="235"/>
    </row>
    <row r="106" customFormat="false" ht="27" hidden="false" customHeight="true" outlineLevel="0" collapsed="false">
      <c r="A106" s="235"/>
      <c r="B106" s="262"/>
      <c r="C106" s="262"/>
      <c r="D106" s="262"/>
      <c r="E106" s="262"/>
      <c r="F106" s="262"/>
      <c r="G106" s="262"/>
      <c r="H106" s="262"/>
      <c r="I106" s="262"/>
      <c r="J106" s="262"/>
      <c r="K106" s="262"/>
      <c r="L106" s="262"/>
      <c r="M106" s="262"/>
      <c r="N106" s="262"/>
      <c r="O106" s="235"/>
    </row>
    <row r="107" customFormat="false" ht="27" hidden="false" customHeight="true" outlineLevel="0" collapsed="false">
      <c r="A107" s="235"/>
      <c r="B107" s="262"/>
      <c r="C107" s="262"/>
      <c r="D107" s="262"/>
      <c r="E107" s="262"/>
      <c r="F107" s="262"/>
      <c r="G107" s="262"/>
      <c r="H107" s="262"/>
      <c r="I107" s="262"/>
      <c r="J107" s="262"/>
      <c r="K107" s="262"/>
      <c r="L107" s="262"/>
      <c r="M107" s="262"/>
      <c r="N107" s="262"/>
      <c r="O107" s="235"/>
    </row>
    <row r="108" customFormat="false" ht="27" hidden="false" customHeight="true" outlineLevel="0" collapsed="false">
      <c r="A108" s="235"/>
      <c r="B108" s="262"/>
      <c r="C108" s="262"/>
      <c r="D108" s="262"/>
      <c r="E108" s="262"/>
      <c r="F108" s="262"/>
      <c r="G108" s="262"/>
      <c r="H108" s="262"/>
      <c r="I108" s="262"/>
      <c r="J108" s="262"/>
      <c r="K108" s="262"/>
      <c r="L108" s="262"/>
      <c r="M108" s="262"/>
      <c r="N108" s="262"/>
      <c r="O108" s="235"/>
    </row>
    <row r="109" customFormat="false" ht="27" hidden="false" customHeight="true" outlineLevel="0" collapsed="false">
      <c r="A109" s="264"/>
      <c r="B109" s="265"/>
      <c r="C109" s="265"/>
      <c r="D109" s="265"/>
      <c r="E109" s="265"/>
      <c r="F109" s="265"/>
      <c r="G109" s="265"/>
      <c r="H109" s="265"/>
      <c r="I109" s="265"/>
      <c r="J109" s="265"/>
      <c r="K109" s="265"/>
      <c r="L109" s="265"/>
      <c r="M109" s="265"/>
      <c r="N109" s="265"/>
      <c r="O109" s="235"/>
    </row>
    <row r="110" customFormat="false" ht="27" hidden="false" customHeight="true" outlineLevel="0" collapsed="false">
      <c r="A110" s="235"/>
      <c r="B110" s="262"/>
      <c r="C110" s="262"/>
      <c r="D110" s="262"/>
      <c r="E110" s="262"/>
      <c r="F110" s="262"/>
      <c r="G110" s="262"/>
      <c r="H110" s="262"/>
      <c r="I110" s="262"/>
      <c r="J110" s="262"/>
      <c r="K110" s="262"/>
      <c r="L110" s="262"/>
      <c r="M110" s="262"/>
      <c r="N110" s="262"/>
      <c r="O110" s="235"/>
    </row>
    <row r="111" customFormat="false" ht="27" hidden="false" customHeight="true" outlineLevel="0" collapsed="false">
      <c r="A111" s="238"/>
      <c r="B111" s="255"/>
      <c r="C111" s="255"/>
      <c r="D111" s="255"/>
      <c r="E111" s="238"/>
      <c r="F111" s="235"/>
      <c r="G111" s="235"/>
      <c r="H111" s="235"/>
      <c r="I111" s="235"/>
      <c r="J111" s="235"/>
      <c r="K111" s="235"/>
      <c r="L111" s="235"/>
      <c r="M111" s="235"/>
      <c r="N111" s="235"/>
      <c r="O111" s="235"/>
    </row>
    <row r="112" customFormat="false" ht="27" hidden="false" customHeight="true" outlineLevel="0" collapsed="false">
      <c r="A112" s="238" t="s">
        <v>2896</v>
      </c>
      <c r="B112" s="255" t="s">
        <v>2897</v>
      </c>
      <c r="C112" s="255" t="s">
        <v>2898</v>
      </c>
      <c r="D112" s="255" t="s">
        <v>2899</v>
      </c>
      <c r="E112" s="238" t="s">
        <v>2900</v>
      </c>
      <c r="F112" s="235"/>
      <c r="G112" s="235"/>
      <c r="H112" s="235"/>
      <c r="I112" s="235"/>
      <c r="J112" s="235"/>
      <c r="K112" s="235"/>
      <c r="L112" s="235"/>
      <c r="M112" s="235"/>
      <c r="N112" s="235"/>
      <c r="O112" s="235"/>
    </row>
    <row r="113" customFormat="false" ht="15" hidden="false" customHeight="true" outlineLevel="0" collapsed="false">
      <c r="A113" s="235" t="s">
        <v>2183</v>
      </c>
      <c r="B113" s="262" t="n">
        <v>57182</v>
      </c>
      <c r="C113" s="262" t="n">
        <f aca="false">N89</f>
        <v>765000</v>
      </c>
      <c r="D113" s="262" t="n">
        <f aca="false">C113-B113</f>
        <v>707818</v>
      </c>
      <c r="E113" s="235" t="s">
        <v>2901</v>
      </c>
      <c r="F113" s="235"/>
      <c r="G113" s="235"/>
      <c r="H113" s="235"/>
      <c r="I113" s="235"/>
      <c r="J113" s="235"/>
      <c r="K113" s="235"/>
      <c r="L113" s="235"/>
      <c r="M113" s="235"/>
      <c r="N113" s="235"/>
      <c r="O113" s="235"/>
    </row>
    <row r="114" customFormat="false" ht="15" hidden="false" customHeight="true" outlineLevel="0" collapsed="false">
      <c r="A114" s="235" t="s">
        <v>2184</v>
      </c>
      <c r="B114" s="262" t="n">
        <v>2684</v>
      </c>
      <c r="C114" s="262" t="n">
        <f aca="false">N90</f>
        <v>46353.9</v>
      </c>
      <c r="D114" s="262" t="n">
        <f aca="false">C114-B114</f>
        <v>43669.9</v>
      </c>
      <c r="E114" s="235" t="s">
        <v>2902</v>
      </c>
      <c r="F114" s="235"/>
      <c r="G114" s="235"/>
      <c r="H114" s="235"/>
      <c r="I114" s="235"/>
      <c r="J114" s="235"/>
      <c r="K114" s="235"/>
      <c r="L114" s="235"/>
      <c r="M114" s="235"/>
      <c r="N114" s="235"/>
      <c r="O114" s="235"/>
    </row>
    <row r="115" customFormat="false" ht="15" hidden="false" customHeight="true" outlineLevel="0" collapsed="false">
      <c r="A115" s="235" t="s">
        <v>2198</v>
      </c>
      <c r="B115" s="262" t="n">
        <v>231822</v>
      </c>
      <c r="C115" s="262" t="n">
        <f aca="false">N91</f>
        <v>575268</v>
      </c>
      <c r="D115" s="262" t="n">
        <f aca="false">C115-B115</f>
        <v>343446</v>
      </c>
      <c r="E115" s="235" t="s">
        <v>2903</v>
      </c>
      <c r="F115" s="235"/>
      <c r="G115" s="235"/>
      <c r="H115" s="235"/>
      <c r="I115" s="235"/>
      <c r="J115" s="235"/>
      <c r="K115" s="235"/>
      <c r="L115" s="235"/>
      <c r="M115" s="235"/>
      <c r="N115" s="235"/>
      <c r="O115" s="235"/>
    </row>
    <row r="116" customFormat="false" ht="15" hidden="false" customHeight="true" outlineLevel="0" collapsed="false">
      <c r="A116" s="235" t="s">
        <v>2199</v>
      </c>
      <c r="B116" s="262" t="n">
        <v>76383</v>
      </c>
      <c r="C116" s="262" t="n">
        <f aca="false">N92</f>
        <v>111800.837968869</v>
      </c>
      <c r="D116" s="262" t="n">
        <f aca="false">C116-B116</f>
        <v>35417.8379688686</v>
      </c>
      <c r="E116" s="235" t="s">
        <v>2904</v>
      </c>
      <c r="F116" s="235"/>
      <c r="G116" s="235"/>
      <c r="H116" s="235"/>
      <c r="I116" s="235"/>
      <c r="J116" s="235"/>
      <c r="K116" s="235"/>
      <c r="L116" s="235"/>
      <c r="M116" s="235"/>
      <c r="N116" s="235"/>
      <c r="O116" s="235"/>
    </row>
    <row r="117" customFormat="false" ht="15" hidden="false" customHeight="true" outlineLevel="0" collapsed="false">
      <c r="A117" s="235" t="s">
        <v>2200</v>
      </c>
      <c r="B117" s="262" t="n">
        <v>23121</v>
      </c>
      <c r="C117" s="262" t="n">
        <f aca="false">N93</f>
        <v>288069.36</v>
      </c>
      <c r="D117" s="262" t="n">
        <f aca="false">C117-B117</f>
        <v>264948.36</v>
      </c>
      <c r="E117" s="235" t="s">
        <v>2905</v>
      </c>
      <c r="F117" s="235"/>
      <c r="G117" s="235"/>
      <c r="H117" s="235"/>
      <c r="I117" s="235"/>
      <c r="J117" s="235"/>
      <c r="K117" s="235"/>
      <c r="L117" s="235"/>
      <c r="M117" s="235"/>
      <c r="N117" s="235"/>
      <c r="O117" s="235"/>
    </row>
    <row r="118" customFormat="false" ht="15" hidden="false" customHeight="true" outlineLevel="0" collapsed="false">
      <c r="A118" s="235" t="s">
        <v>2201</v>
      </c>
      <c r="B118" s="262" t="n">
        <v>255704</v>
      </c>
      <c r="C118" s="262" t="n">
        <f aca="false">N94</f>
        <v>1519864.86733714</v>
      </c>
      <c r="D118" s="262" t="n">
        <f aca="false">C118-B118</f>
        <v>1264160.86733714</v>
      </c>
      <c r="E118" s="235" t="s">
        <v>2906</v>
      </c>
      <c r="F118" s="235"/>
      <c r="G118" s="235"/>
      <c r="H118" s="235"/>
      <c r="I118" s="235"/>
      <c r="J118" s="235"/>
      <c r="K118" s="235"/>
      <c r="L118" s="235"/>
      <c r="M118" s="235"/>
      <c r="N118" s="235"/>
      <c r="O118" s="235"/>
    </row>
    <row r="119" customFormat="false" ht="15" hidden="false" customHeight="true" outlineLevel="0" collapsed="false">
      <c r="A119" s="235" t="s">
        <v>2202</v>
      </c>
      <c r="B119" s="262" t="n">
        <v>30960</v>
      </c>
      <c r="C119" s="262" t="n">
        <f aca="false">N95</f>
        <v>36000</v>
      </c>
      <c r="D119" s="262" t="n">
        <f aca="false">C119-B119</f>
        <v>5040</v>
      </c>
      <c r="E119" s="235" t="s">
        <v>2907</v>
      </c>
      <c r="F119" s="235"/>
      <c r="G119" s="235"/>
      <c r="H119" s="235"/>
      <c r="I119" s="235"/>
      <c r="J119" s="235"/>
      <c r="K119" s="235"/>
      <c r="L119" s="235"/>
      <c r="M119" s="235"/>
      <c r="N119" s="235"/>
      <c r="O119" s="235"/>
    </row>
    <row r="120" customFormat="false" ht="15" hidden="false" customHeight="true" outlineLevel="0" collapsed="false">
      <c r="A120" s="235" t="s">
        <v>2203</v>
      </c>
      <c r="B120" s="262" t="n">
        <v>45228</v>
      </c>
      <c r="C120" s="262" t="n">
        <f aca="false">N96</f>
        <v>47904</v>
      </c>
      <c r="D120" s="262" t="n">
        <f aca="false">C120-B120</f>
        <v>2676</v>
      </c>
      <c r="E120" s="235" t="s">
        <v>2908</v>
      </c>
      <c r="F120" s="235"/>
      <c r="G120" s="235"/>
      <c r="H120" s="235"/>
      <c r="I120" s="235"/>
      <c r="J120" s="235"/>
      <c r="K120" s="235"/>
      <c r="L120" s="235"/>
      <c r="M120" s="235"/>
      <c r="N120" s="235"/>
      <c r="O120" s="235"/>
    </row>
    <row r="121" customFormat="false" ht="15" hidden="false" customHeight="true" outlineLevel="0" collapsed="false">
      <c r="A121" s="264" t="s">
        <v>2909</v>
      </c>
      <c r="B121" s="265" t="n">
        <f aca="false">SUM(B113:B120)</f>
        <v>723084</v>
      </c>
      <c r="C121" s="265" t="n">
        <f aca="false">SUM(C113:C120)</f>
        <v>3390260.96530601</v>
      </c>
      <c r="D121" s="265" t="n">
        <f aca="false">C121-B121</f>
        <v>2667176.96530601</v>
      </c>
      <c r="E121" s="264"/>
      <c r="F121" s="235"/>
      <c r="G121" s="235"/>
      <c r="H121" s="235"/>
      <c r="I121" s="235"/>
      <c r="J121" s="235"/>
      <c r="K121" s="235"/>
      <c r="L121" s="235"/>
      <c r="M121" s="235"/>
      <c r="N121" s="235"/>
      <c r="O121" s="235"/>
    </row>
    <row r="122" customFormat="false" ht="15" hidden="false" customHeight="true" outlineLevel="0" collapsed="false">
      <c r="A122" s="267" t="s">
        <v>2910</v>
      </c>
      <c r="B122" s="235"/>
      <c r="C122" s="235"/>
      <c r="D122" s="235"/>
      <c r="E122" s="235"/>
      <c r="F122" s="235"/>
      <c r="G122" s="235"/>
      <c r="H122" s="235"/>
      <c r="I122" s="235"/>
      <c r="J122" s="235"/>
      <c r="K122" s="235"/>
      <c r="L122" s="235"/>
      <c r="M122" s="235"/>
      <c r="N122" s="235"/>
      <c r="O122" s="235"/>
    </row>
    <row r="123" customFormat="false" ht="15" hidden="false" customHeight="true" outlineLevel="0" collapsed="false">
      <c r="A123" s="235"/>
      <c r="B123" s="235"/>
      <c r="C123" s="235"/>
      <c r="D123" s="235"/>
      <c r="E123" s="235"/>
      <c r="F123" s="235"/>
      <c r="G123" s="235"/>
      <c r="H123" s="235"/>
      <c r="I123" s="235"/>
      <c r="J123" s="235"/>
      <c r="K123" s="235"/>
      <c r="L123" s="235"/>
      <c r="M123" s="235"/>
      <c r="N123" s="235"/>
      <c r="O123" s="235"/>
    </row>
    <row r="124" customFormat="false" ht="15" hidden="false" customHeight="true" outlineLevel="0" collapsed="false">
      <c r="A124" s="238" t="s">
        <v>2911</v>
      </c>
      <c r="B124" s="238"/>
      <c r="C124" s="238"/>
      <c r="D124" s="238"/>
      <c r="E124" s="238"/>
      <c r="F124" s="238"/>
      <c r="G124" s="238"/>
      <c r="H124" s="238"/>
      <c r="I124" s="238"/>
      <c r="J124" s="238"/>
      <c r="K124" s="238"/>
      <c r="L124" s="238"/>
      <c r="M124" s="238"/>
      <c r="N124" s="238"/>
      <c r="O124" s="238"/>
    </row>
    <row r="125" customFormat="false" ht="15" hidden="false" customHeight="true" outlineLevel="0" collapsed="false">
      <c r="A125" s="235" t="s">
        <v>2912</v>
      </c>
      <c r="B125" s="235"/>
      <c r="C125" s="235"/>
      <c r="D125" s="235"/>
      <c r="E125" s="235"/>
      <c r="F125" s="235"/>
      <c r="G125" s="235"/>
      <c r="H125" s="235"/>
      <c r="I125" s="235"/>
      <c r="J125" s="235"/>
      <c r="K125" s="235"/>
      <c r="L125" s="235"/>
      <c r="M125" s="235"/>
      <c r="N125" s="235"/>
      <c r="O125" s="235"/>
    </row>
    <row r="126" customFormat="false" ht="15" hidden="false" customHeight="true" outlineLevel="0" collapsed="false">
      <c r="A126" s="235" t="s">
        <v>2913</v>
      </c>
      <c r="B126" s="235"/>
      <c r="C126" s="235"/>
      <c r="D126" s="235"/>
      <c r="E126" s="235"/>
      <c r="F126" s="235"/>
      <c r="G126" s="235"/>
      <c r="H126" s="235"/>
      <c r="I126" s="235"/>
      <c r="J126" s="235"/>
      <c r="K126" s="235"/>
      <c r="L126" s="235"/>
      <c r="M126" s="235"/>
      <c r="N126" s="235"/>
      <c r="O126" s="235"/>
    </row>
    <row r="127" customFormat="false" ht="15" hidden="false" customHeight="true" outlineLevel="0" collapsed="false">
      <c r="A127" s="235" t="s">
        <v>2914</v>
      </c>
      <c r="B127" s="235"/>
      <c r="C127" s="235"/>
      <c r="D127" s="235"/>
      <c r="E127" s="235"/>
      <c r="F127" s="235"/>
      <c r="G127" s="235"/>
      <c r="H127" s="235"/>
      <c r="I127" s="235"/>
      <c r="J127" s="235"/>
      <c r="K127" s="235"/>
      <c r="L127" s="235"/>
      <c r="M127" s="235"/>
      <c r="N127" s="235"/>
      <c r="O127" s="235"/>
    </row>
    <row r="128" customFormat="false" ht="15" hidden="false" customHeight="true" outlineLevel="0" collapsed="false">
      <c r="A128" s="235" t="s">
        <v>2915</v>
      </c>
      <c r="B128" s="235"/>
      <c r="C128" s="235"/>
      <c r="D128" s="235"/>
      <c r="E128" s="235"/>
      <c r="F128" s="235"/>
      <c r="G128" s="235"/>
      <c r="H128" s="235"/>
      <c r="I128" s="235"/>
      <c r="J128" s="235"/>
      <c r="K128" s="235"/>
      <c r="L128" s="235"/>
      <c r="M128" s="235"/>
      <c r="N128" s="235"/>
      <c r="O128" s="235"/>
    </row>
    <row r="129" customFormat="false" ht="15" hidden="false" customHeight="true" outlineLevel="0" collapsed="false">
      <c r="A129" s="235" t="s">
        <v>2916</v>
      </c>
      <c r="B129" s="235"/>
      <c r="C129" s="235"/>
      <c r="D129" s="235"/>
      <c r="E129" s="235"/>
      <c r="F129" s="235"/>
      <c r="G129" s="235"/>
      <c r="H129" s="235"/>
      <c r="I129" s="235"/>
      <c r="J129" s="235"/>
      <c r="K129" s="235"/>
      <c r="L129" s="235"/>
      <c r="M129" s="235"/>
      <c r="N129" s="235"/>
      <c r="O129" s="235"/>
    </row>
    <row r="130" customFormat="false" ht="15" hidden="false" customHeight="true" outlineLevel="0" collapsed="false">
      <c r="A130" s="235" t="s">
        <v>2917</v>
      </c>
      <c r="B130" s="235"/>
      <c r="C130" s="235"/>
      <c r="D130" s="235"/>
      <c r="E130" s="235"/>
      <c r="F130" s="235"/>
      <c r="G130" s="235"/>
      <c r="H130" s="235"/>
      <c r="I130" s="235"/>
      <c r="J130" s="235"/>
      <c r="K130" s="235"/>
      <c r="L130" s="235"/>
      <c r="M130" s="235"/>
      <c r="N130" s="235"/>
      <c r="O130" s="235"/>
    </row>
    <row r="131" customFormat="false" ht="15" hidden="false" customHeight="true" outlineLevel="0" collapsed="false">
      <c r="A131" s="235" t="s">
        <v>2918</v>
      </c>
      <c r="B131" s="235"/>
      <c r="C131" s="235"/>
      <c r="D131" s="235"/>
      <c r="E131" s="235"/>
      <c r="F131" s="235"/>
      <c r="G131" s="235"/>
      <c r="H131" s="235"/>
      <c r="I131" s="235"/>
      <c r="J131" s="235"/>
      <c r="K131" s="235"/>
      <c r="L131" s="235"/>
      <c r="M131" s="235"/>
      <c r="N131" s="235"/>
      <c r="O131" s="235"/>
    </row>
    <row r="132" customFormat="false" ht="15" hidden="false" customHeight="true" outlineLevel="0" collapsed="false">
      <c r="A132" s="235"/>
      <c r="B132" s="235"/>
      <c r="C132" s="235"/>
      <c r="D132" s="235"/>
      <c r="E132" s="235"/>
      <c r="F132" s="235"/>
      <c r="G132" s="235"/>
      <c r="H132" s="235"/>
      <c r="I132" s="235"/>
      <c r="J132" s="235"/>
      <c r="K132" s="235"/>
      <c r="L132" s="235"/>
      <c r="M132" s="235"/>
      <c r="N132" s="235"/>
      <c r="O132" s="235"/>
    </row>
    <row r="133" customFormat="false" ht="15" hidden="false" customHeight="true" outlineLevel="0" collapsed="false">
      <c r="A133" s="238" t="s">
        <v>2919</v>
      </c>
      <c r="B133" s="238"/>
      <c r="C133" s="238"/>
      <c r="D133" s="238"/>
      <c r="E133" s="238"/>
      <c r="F133" s="238"/>
      <c r="G133" s="238"/>
      <c r="H133" s="238"/>
      <c r="I133" s="238"/>
      <c r="J133" s="238"/>
      <c r="K133" s="238"/>
      <c r="L133" s="238"/>
      <c r="M133" s="238"/>
      <c r="N133" s="238"/>
      <c r="O133" s="238"/>
    </row>
    <row r="134" customFormat="false" ht="15" hidden="false" customHeight="true" outlineLevel="0" collapsed="false">
      <c r="A134" s="235" t="s">
        <v>2920</v>
      </c>
      <c r="B134" s="235"/>
      <c r="C134" s="235"/>
      <c r="D134" s="235"/>
      <c r="E134" s="235"/>
      <c r="F134" s="235"/>
      <c r="G134" s="235"/>
      <c r="H134" s="235"/>
      <c r="I134" s="235"/>
      <c r="J134" s="235"/>
      <c r="K134" s="235"/>
      <c r="L134" s="235"/>
      <c r="M134" s="235"/>
      <c r="N134" s="235"/>
      <c r="O134" s="235"/>
    </row>
    <row r="135" customFormat="false" ht="15" hidden="false" customHeight="true" outlineLevel="0" collapsed="false">
      <c r="A135" s="235" t="s">
        <v>2921</v>
      </c>
      <c r="B135" s="235"/>
      <c r="C135" s="235"/>
      <c r="D135" s="235"/>
      <c r="E135" s="235"/>
      <c r="F135" s="235"/>
      <c r="G135" s="235"/>
      <c r="H135" s="235"/>
      <c r="I135" s="235"/>
      <c r="J135" s="235"/>
      <c r="K135" s="235"/>
      <c r="L135" s="235"/>
      <c r="M135" s="235"/>
      <c r="N135" s="235"/>
      <c r="O135" s="235"/>
    </row>
    <row r="136" customFormat="false" ht="15" hidden="false" customHeight="true" outlineLevel="0" collapsed="false">
      <c r="A136" s="235" t="s">
        <v>2922</v>
      </c>
      <c r="B136" s="235"/>
      <c r="C136" s="235"/>
      <c r="D136" s="235"/>
      <c r="E136" s="235"/>
      <c r="F136" s="235"/>
      <c r="G136" s="235"/>
      <c r="H136" s="235"/>
      <c r="I136" s="235"/>
      <c r="J136" s="235"/>
      <c r="K136" s="235"/>
      <c r="L136" s="235"/>
      <c r="M136" s="235"/>
      <c r="N136" s="235"/>
      <c r="O136" s="235"/>
    </row>
    <row r="137" customFormat="false" ht="15" hidden="false" customHeight="true" outlineLevel="0" collapsed="false">
      <c r="A137" s="235" t="s">
        <v>2923</v>
      </c>
      <c r="B137" s="235"/>
      <c r="C137" s="235"/>
      <c r="D137" s="235"/>
      <c r="E137" s="235"/>
      <c r="F137" s="235"/>
      <c r="G137" s="235"/>
      <c r="H137" s="235"/>
      <c r="I137" s="235"/>
      <c r="J137" s="235"/>
      <c r="K137" s="235"/>
      <c r="L137" s="235"/>
      <c r="M137" s="235"/>
      <c r="N137" s="235"/>
      <c r="O137" s="235"/>
    </row>
    <row r="138" customFormat="false" ht="15" hidden="false" customHeight="true" outlineLevel="0" collapsed="false">
      <c r="A138" s="235"/>
      <c r="B138" s="235"/>
      <c r="C138" s="235"/>
      <c r="D138" s="235"/>
      <c r="E138" s="235"/>
      <c r="F138" s="235"/>
      <c r="G138" s="235"/>
      <c r="H138" s="235"/>
      <c r="I138" s="235"/>
      <c r="J138" s="235"/>
      <c r="K138" s="235"/>
      <c r="L138" s="235"/>
      <c r="M138" s="235"/>
      <c r="N138" s="235"/>
      <c r="O138" s="235"/>
    </row>
    <row r="139" customFormat="false" ht="15" hidden="false" customHeight="true" outlineLevel="0" collapsed="false">
      <c r="A139" s="238" t="s">
        <v>2924</v>
      </c>
      <c r="B139" s="238"/>
      <c r="C139" s="238"/>
      <c r="D139" s="238"/>
      <c r="E139" s="238"/>
      <c r="F139" s="238"/>
      <c r="G139" s="238"/>
      <c r="H139" s="238"/>
      <c r="I139" s="238"/>
      <c r="J139" s="238"/>
      <c r="K139" s="238"/>
      <c r="L139" s="238"/>
      <c r="M139" s="238"/>
      <c r="N139" s="238"/>
      <c r="O139" s="238"/>
    </row>
    <row r="140" customFormat="false" ht="15" hidden="false" customHeight="true" outlineLevel="0" collapsed="false">
      <c r="A140" s="235" t="s">
        <v>2925</v>
      </c>
      <c r="B140" s="235"/>
      <c r="C140" s="235"/>
      <c r="D140" s="235"/>
      <c r="E140" s="235"/>
      <c r="F140" s="235"/>
      <c r="G140" s="235"/>
      <c r="H140" s="235"/>
      <c r="I140" s="235"/>
      <c r="J140" s="235"/>
      <c r="K140" s="235"/>
      <c r="L140" s="235"/>
      <c r="M140" s="235"/>
      <c r="N140" s="235"/>
      <c r="O140" s="235"/>
    </row>
    <row r="141" customFormat="false" ht="15" hidden="false" customHeight="true" outlineLevel="0" collapsed="false">
      <c r="A141" s="235"/>
      <c r="B141" s="235"/>
      <c r="C141" s="235"/>
      <c r="D141" s="235"/>
      <c r="E141" s="235"/>
      <c r="F141" s="235"/>
      <c r="G141" s="235"/>
      <c r="H141" s="235"/>
      <c r="I141" s="235"/>
      <c r="J141" s="235"/>
      <c r="K141" s="235"/>
      <c r="L141" s="235"/>
      <c r="M141" s="235"/>
      <c r="N141" s="235"/>
      <c r="O141" s="235"/>
    </row>
    <row r="142" customFormat="false" ht="15" hidden="false" customHeight="true" outlineLevel="0" collapsed="false">
      <c r="A142" s="238" t="s">
        <v>2926</v>
      </c>
      <c r="B142" s="238"/>
      <c r="C142" s="238"/>
      <c r="D142" s="238"/>
      <c r="E142" s="238"/>
      <c r="F142" s="238"/>
      <c r="G142" s="238"/>
      <c r="H142" s="238"/>
      <c r="I142" s="238"/>
      <c r="J142" s="238"/>
      <c r="K142" s="238"/>
      <c r="L142" s="238"/>
      <c r="M142" s="238"/>
      <c r="N142" s="238"/>
      <c r="O142" s="238"/>
    </row>
    <row r="143" customFormat="false" ht="15" hidden="false" customHeight="true" outlineLevel="0" collapsed="false">
      <c r="A143" s="235" t="s">
        <v>2927</v>
      </c>
      <c r="B143" s="235"/>
      <c r="C143" s="235"/>
      <c r="D143" s="235"/>
      <c r="E143" s="235"/>
      <c r="F143" s="235"/>
      <c r="G143" s="235"/>
      <c r="H143" s="235"/>
      <c r="I143" s="235"/>
      <c r="J143" s="235"/>
      <c r="K143" s="235"/>
      <c r="L143" s="235"/>
      <c r="M143" s="235"/>
      <c r="N143" s="235"/>
      <c r="O143" s="235"/>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3" width="41.38"/>
    <col collapsed="false" customWidth="true" hidden="false" outlineLevel="0" max="13" min="2" style="3" width="12"/>
  </cols>
  <sheetData>
    <row r="1" customFormat="false" ht="17.25" hidden="false" customHeight="true" outlineLevel="0" collapsed="false">
      <c r="A1" s="268" t="s">
        <v>2928</v>
      </c>
      <c r="B1" s="235"/>
      <c r="C1" s="235"/>
      <c r="D1" s="235"/>
      <c r="E1" s="235"/>
      <c r="F1" s="235"/>
      <c r="G1" s="235"/>
      <c r="H1" s="235"/>
      <c r="I1" s="235"/>
      <c r="J1" s="235"/>
      <c r="K1" s="235"/>
      <c r="L1" s="235"/>
      <c r="M1" s="235"/>
      <c r="N1" s="235"/>
    </row>
    <row r="2" customFormat="false" ht="52.5" hidden="false" customHeight="true" outlineLevel="0" collapsed="false">
      <c r="A2" s="236" t="s">
        <v>2772</v>
      </c>
      <c r="B2" s="237" t="s">
        <v>2929</v>
      </c>
      <c r="C2" s="237"/>
      <c r="D2" s="237"/>
      <c r="E2" s="237"/>
      <c r="F2" s="237"/>
      <c r="G2" s="237"/>
      <c r="H2" s="237"/>
      <c r="I2" s="237"/>
      <c r="J2" s="237"/>
      <c r="K2" s="237"/>
      <c r="L2" s="237"/>
      <c r="M2" s="237"/>
      <c r="N2" s="237"/>
    </row>
    <row r="3" customFormat="false" ht="15" hidden="false" customHeight="true" outlineLevel="0" collapsed="false">
      <c r="A3" s="235"/>
      <c r="B3" s="235"/>
      <c r="C3" s="235"/>
      <c r="D3" s="235"/>
      <c r="E3" s="235"/>
      <c r="F3" s="235"/>
      <c r="G3" s="235"/>
      <c r="H3" s="235"/>
      <c r="I3" s="235"/>
      <c r="J3" s="235"/>
      <c r="K3" s="235"/>
      <c r="L3" s="235"/>
      <c r="M3" s="235"/>
      <c r="N3" s="235"/>
    </row>
    <row r="4" customFormat="false" ht="15" hidden="false" customHeight="true" outlineLevel="0" collapsed="false">
      <c r="A4" s="269" t="s">
        <v>2774</v>
      </c>
      <c r="B4" s="269" t="s">
        <v>305</v>
      </c>
      <c r="C4" s="269" t="s">
        <v>2372</v>
      </c>
      <c r="D4" s="269" t="s">
        <v>2775</v>
      </c>
      <c r="E4" s="235"/>
      <c r="F4" s="235"/>
      <c r="G4" s="235"/>
      <c r="H4" s="235"/>
      <c r="I4" s="235"/>
      <c r="J4" s="235"/>
      <c r="K4" s="235"/>
      <c r="L4" s="235"/>
      <c r="M4" s="235"/>
      <c r="N4" s="235"/>
    </row>
    <row r="5" customFormat="false" ht="15" hidden="false" customHeight="true" outlineLevel="0" collapsed="false">
      <c r="A5" s="235" t="s">
        <v>2930</v>
      </c>
      <c r="B5" s="242" t="n">
        <v>4</v>
      </c>
      <c r="C5" s="235" t="s">
        <v>4</v>
      </c>
      <c r="D5" s="235" t="s">
        <v>2931</v>
      </c>
      <c r="E5" s="235"/>
      <c r="F5" s="235"/>
      <c r="G5" s="235"/>
      <c r="H5" s="235"/>
      <c r="I5" s="235"/>
      <c r="J5" s="235"/>
      <c r="K5" s="235"/>
      <c r="L5" s="235"/>
      <c r="M5" s="235"/>
      <c r="N5" s="235"/>
    </row>
    <row r="6" customFormat="false" ht="15" hidden="false" customHeight="true" outlineLevel="0" collapsed="false">
      <c r="A6" s="235" t="s">
        <v>2932</v>
      </c>
      <c r="B6" s="270" t="n">
        <v>1</v>
      </c>
      <c r="C6" s="235" t="s">
        <v>2389</v>
      </c>
      <c r="D6" s="235" t="s">
        <v>2933</v>
      </c>
      <c r="E6" s="235"/>
      <c r="F6" s="235"/>
      <c r="G6" s="235"/>
      <c r="H6" s="235"/>
      <c r="I6" s="235"/>
      <c r="J6" s="235"/>
      <c r="K6" s="235"/>
      <c r="L6" s="235"/>
      <c r="M6" s="235"/>
      <c r="N6" s="235"/>
    </row>
    <row r="7" customFormat="false" ht="15" hidden="false" customHeight="true" outlineLevel="0" collapsed="false">
      <c r="A7" s="235" t="s">
        <v>2835</v>
      </c>
      <c r="B7" s="271" t="n">
        <f aca="false">'Fld Ops Payroll'!B12</f>
        <v>0.6</v>
      </c>
      <c r="C7" s="235" t="s">
        <v>2389</v>
      </c>
      <c r="D7" s="235" t="s">
        <v>2934</v>
      </c>
      <c r="E7" s="235"/>
      <c r="F7" s="235"/>
      <c r="G7" s="235"/>
      <c r="H7" s="235"/>
      <c r="I7" s="235"/>
      <c r="J7" s="235"/>
      <c r="K7" s="235"/>
      <c r="L7" s="235"/>
      <c r="M7" s="235"/>
      <c r="N7" s="235"/>
    </row>
    <row r="8" customFormat="false" ht="15" hidden="false" customHeight="true" outlineLevel="0" collapsed="false">
      <c r="A8" s="235" t="s">
        <v>2935</v>
      </c>
      <c r="B8" s="270" t="n">
        <v>0.3</v>
      </c>
      <c r="C8" s="235" t="s">
        <v>2936</v>
      </c>
      <c r="D8" s="235" t="s">
        <v>2937</v>
      </c>
      <c r="E8" s="235"/>
      <c r="F8" s="235"/>
      <c r="G8" s="235"/>
      <c r="H8" s="235"/>
      <c r="I8" s="235"/>
      <c r="J8" s="235"/>
      <c r="K8" s="235"/>
      <c r="L8" s="235"/>
      <c r="M8" s="235"/>
      <c r="N8" s="235"/>
    </row>
    <row r="9" customFormat="false" ht="15" hidden="false" customHeight="true" outlineLevel="0" collapsed="false">
      <c r="A9" s="235" t="s">
        <v>2938</v>
      </c>
      <c r="B9" s="270" t="n">
        <v>0.25</v>
      </c>
      <c r="C9" s="235" t="s">
        <v>2939</v>
      </c>
      <c r="D9" s="235" t="s">
        <v>2940</v>
      </c>
      <c r="E9" s="235"/>
      <c r="F9" s="235"/>
      <c r="G9" s="235"/>
      <c r="H9" s="235"/>
      <c r="I9" s="235"/>
      <c r="J9" s="235"/>
      <c r="K9" s="235"/>
      <c r="L9" s="235"/>
      <c r="M9" s="235"/>
      <c r="N9" s="235"/>
    </row>
    <row r="10" customFormat="false" ht="15" hidden="false" customHeight="true" outlineLevel="0" collapsed="false">
      <c r="A10" s="235" t="s">
        <v>2941</v>
      </c>
      <c r="B10" s="242" t="n">
        <v>9</v>
      </c>
      <c r="C10" s="235" t="s">
        <v>4</v>
      </c>
      <c r="D10" s="235" t="s">
        <v>2942</v>
      </c>
      <c r="E10" s="235"/>
      <c r="F10" s="235"/>
      <c r="G10" s="235"/>
      <c r="H10" s="235"/>
      <c r="I10" s="235"/>
      <c r="J10" s="235"/>
      <c r="K10" s="235"/>
      <c r="L10" s="235"/>
      <c r="M10" s="235"/>
      <c r="N10" s="235"/>
    </row>
    <row r="11" customFormat="false" ht="15" hidden="false" customHeight="true" outlineLevel="0" collapsed="false">
      <c r="A11" s="235"/>
      <c r="B11" s="235"/>
      <c r="C11" s="235"/>
      <c r="D11" s="235"/>
      <c r="E11" s="235"/>
      <c r="F11" s="235"/>
      <c r="G11" s="235"/>
      <c r="H11" s="235"/>
      <c r="I11" s="235"/>
      <c r="J11" s="235"/>
      <c r="K11" s="235"/>
      <c r="L11" s="235"/>
      <c r="M11" s="235"/>
      <c r="N11" s="235"/>
    </row>
    <row r="12" customFormat="false" ht="15" hidden="false" customHeight="true" outlineLevel="0" collapsed="false">
      <c r="A12" s="269" t="s">
        <v>2943</v>
      </c>
      <c r="B12" s="269" t="s">
        <v>2944</v>
      </c>
      <c r="C12" s="269" t="s">
        <v>2945</v>
      </c>
      <c r="D12" s="269" t="s">
        <v>2775</v>
      </c>
      <c r="E12" s="235"/>
      <c r="F12" s="235"/>
      <c r="G12" s="235"/>
      <c r="H12" s="235"/>
      <c r="I12" s="235"/>
      <c r="J12" s="235"/>
      <c r="K12" s="235"/>
      <c r="L12" s="235"/>
      <c r="M12" s="235"/>
      <c r="N12" s="235"/>
    </row>
    <row r="13" customFormat="false" ht="15" hidden="false" customHeight="true" outlineLevel="0" collapsed="false">
      <c r="A13" s="235" t="s">
        <v>2946</v>
      </c>
      <c r="B13" s="272" t="n">
        <v>98591</v>
      </c>
      <c r="C13" s="243" t="n">
        <f aca="false">DATE(2027,1,1)</f>
        <v>46388</v>
      </c>
      <c r="D13" s="235" t="s">
        <v>2947</v>
      </c>
      <c r="E13" s="235"/>
      <c r="F13" s="235"/>
      <c r="G13" s="235"/>
      <c r="H13" s="235"/>
      <c r="I13" s="235"/>
      <c r="J13" s="235"/>
      <c r="K13" s="235"/>
      <c r="L13" s="235"/>
      <c r="M13" s="235"/>
      <c r="N13" s="235"/>
    </row>
    <row r="14" customFormat="false" ht="15" hidden="false" customHeight="true" outlineLevel="0" collapsed="false">
      <c r="A14" s="235" t="s">
        <v>2948</v>
      </c>
      <c r="B14" s="272" t="n">
        <v>72080</v>
      </c>
      <c r="C14" s="243" t="n">
        <f aca="false">DATE(2027,1,1)</f>
        <v>46388</v>
      </c>
      <c r="D14" s="235" t="s">
        <v>2947</v>
      </c>
      <c r="E14" s="235"/>
      <c r="F14" s="235"/>
      <c r="G14" s="235"/>
      <c r="H14" s="235"/>
      <c r="I14" s="235"/>
      <c r="J14" s="235"/>
      <c r="K14" s="235"/>
      <c r="L14" s="235"/>
      <c r="M14" s="235"/>
      <c r="N14" s="235"/>
    </row>
    <row r="15" customFormat="false" ht="15" hidden="false" customHeight="true" outlineLevel="0" collapsed="false">
      <c r="A15" s="235" t="s">
        <v>2949</v>
      </c>
      <c r="B15" s="272" t="n">
        <v>75000</v>
      </c>
      <c r="C15" s="243" t="n">
        <f aca="false">DATE(2027,1,1)</f>
        <v>46388</v>
      </c>
      <c r="D15" s="235" t="s">
        <v>2947</v>
      </c>
      <c r="E15" s="235"/>
      <c r="F15" s="235"/>
      <c r="G15" s="235"/>
      <c r="H15" s="235"/>
      <c r="I15" s="235"/>
      <c r="J15" s="235"/>
      <c r="K15" s="235"/>
      <c r="L15" s="235"/>
      <c r="M15" s="235"/>
      <c r="N15" s="235"/>
    </row>
    <row r="16" customFormat="false" ht="15" hidden="false" customHeight="true" outlineLevel="0" collapsed="false">
      <c r="A16" s="235" t="s">
        <v>2950</v>
      </c>
      <c r="B16" s="272" t="n">
        <v>70000</v>
      </c>
      <c r="C16" s="243" t="n">
        <f aca="false">DATE(2027,1,1)</f>
        <v>46388</v>
      </c>
      <c r="D16" s="235" t="s">
        <v>2947</v>
      </c>
      <c r="E16" s="235"/>
      <c r="F16" s="235"/>
      <c r="G16" s="235"/>
      <c r="H16" s="235"/>
      <c r="I16" s="235"/>
      <c r="J16" s="235"/>
      <c r="K16" s="235"/>
      <c r="L16" s="235"/>
      <c r="M16" s="235"/>
      <c r="N16" s="235"/>
    </row>
    <row r="17" customFormat="false" ht="15" hidden="false" customHeight="true" outlineLevel="0" collapsed="false">
      <c r="A17" s="235" t="s">
        <v>2951</v>
      </c>
      <c r="B17" s="272" t="n">
        <v>160000</v>
      </c>
      <c r="C17" s="243" t="n">
        <f aca="false">DATE(2027,1,1)</f>
        <v>46388</v>
      </c>
      <c r="D17" s="235" t="s">
        <v>2947</v>
      </c>
      <c r="E17" s="235"/>
      <c r="F17" s="235"/>
      <c r="G17" s="235"/>
      <c r="H17" s="235"/>
      <c r="I17" s="235"/>
      <c r="J17" s="235"/>
      <c r="K17" s="235"/>
      <c r="L17" s="235"/>
      <c r="M17" s="235"/>
      <c r="N17" s="235"/>
    </row>
    <row r="18" customFormat="false" ht="15" hidden="false" customHeight="true" outlineLevel="0" collapsed="false">
      <c r="A18" s="235" t="s">
        <v>2952</v>
      </c>
      <c r="B18" s="272" t="n">
        <v>65000</v>
      </c>
      <c r="C18" s="243" t="n">
        <f aca="false">DATE(2027,1,1)</f>
        <v>46388</v>
      </c>
      <c r="D18" s="235" t="s">
        <v>2947</v>
      </c>
      <c r="E18" s="235"/>
      <c r="F18" s="235"/>
      <c r="G18" s="235"/>
      <c r="H18" s="235"/>
      <c r="I18" s="235"/>
      <c r="J18" s="235"/>
      <c r="K18" s="235"/>
      <c r="L18" s="235"/>
      <c r="M18" s="235"/>
      <c r="N18" s="235"/>
    </row>
    <row r="19" customFormat="false" ht="15" hidden="false" customHeight="true" outlineLevel="0" collapsed="false">
      <c r="A19" s="235" t="s">
        <v>2953</v>
      </c>
      <c r="B19" s="272" t="n">
        <f aca="false">B18</f>
        <v>65000</v>
      </c>
      <c r="C19" s="243" t="n">
        <f aca="false">DATE(2027,8,1)</f>
        <v>46600</v>
      </c>
      <c r="D19" s="235" t="s">
        <v>2954</v>
      </c>
      <c r="E19" s="235"/>
      <c r="F19" s="235"/>
      <c r="G19" s="235"/>
      <c r="H19" s="235"/>
      <c r="I19" s="235"/>
      <c r="J19" s="235"/>
      <c r="K19" s="235"/>
      <c r="L19" s="235"/>
      <c r="M19" s="235"/>
      <c r="N19" s="235"/>
    </row>
    <row r="20" customFormat="false" ht="15" hidden="false" customHeight="true" outlineLevel="0" collapsed="false">
      <c r="A20" s="235" t="s">
        <v>2955</v>
      </c>
      <c r="B20" s="272" t="n">
        <v>140000</v>
      </c>
      <c r="C20" s="243" t="n">
        <f aca="false">DATE(2027,1,1)</f>
        <v>46388</v>
      </c>
      <c r="D20" s="235" t="s">
        <v>2956</v>
      </c>
      <c r="E20" s="235"/>
      <c r="F20" s="235"/>
      <c r="G20" s="235"/>
      <c r="H20" s="235"/>
      <c r="I20" s="235"/>
      <c r="J20" s="235"/>
      <c r="K20" s="235"/>
      <c r="L20" s="235"/>
      <c r="M20" s="235"/>
      <c r="N20" s="235"/>
    </row>
    <row r="21" customFormat="false" ht="15" hidden="false" customHeight="true" outlineLevel="0" collapsed="false">
      <c r="A21" s="235" t="s">
        <v>2957</v>
      </c>
      <c r="B21" s="272" t="n">
        <v>205000</v>
      </c>
      <c r="C21" s="243" t="n">
        <f aca="false">DATE(2027,1,1)</f>
        <v>46388</v>
      </c>
      <c r="D21" s="235" t="s">
        <v>2958</v>
      </c>
      <c r="E21" s="235"/>
      <c r="F21" s="235"/>
      <c r="G21" s="235"/>
      <c r="H21" s="235"/>
      <c r="I21" s="235"/>
      <c r="J21" s="235"/>
      <c r="K21" s="235"/>
      <c r="L21" s="235"/>
      <c r="M21" s="235"/>
      <c r="N21" s="235"/>
    </row>
    <row r="22" customFormat="false" ht="15" hidden="false" customHeight="true" outlineLevel="0" collapsed="false">
      <c r="A22" s="235" t="s">
        <v>2635</v>
      </c>
      <c r="B22" s="273" t="n">
        <f aca="false">'Fld Ops Payroll'!B7</f>
        <v>0.068</v>
      </c>
      <c r="C22" s="235" t="s">
        <v>2389</v>
      </c>
      <c r="D22" s="235" t="s">
        <v>2959</v>
      </c>
      <c r="E22" s="235"/>
      <c r="F22" s="235"/>
      <c r="G22" s="235"/>
      <c r="H22" s="235"/>
      <c r="I22" s="235"/>
      <c r="J22" s="235"/>
      <c r="K22" s="235"/>
      <c r="L22" s="235"/>
      <c r="M22" s="235"/>
      <c r="N22" s="235"/>
    </row>
    <row r="23" customFormat="false" ht="15" hidden="false" customHeight="true" outlineLevel="0" collapsed="false">
      <c r="A23" s="235" t="s">
        <v>2637</v>
      </c>
      <c r="B23" s="273" t="n">
        <f aca="false">'Fld Ops Payroll'!B8</f>
        <v>0.164</v>
      </c>
      <c r="C23" s="235" t="s">
        <v>2389</v>
      </c>
      <c r="D23" s="235" t="s">
        <v>2960</v>
      </c>
      <c r="E23" s="235"/>
      <c r="F23" s="235"/>
      <c r="G23" s="235"/>
      <c r="H23" s="235"/>
      <c r="I23" s="235"/>
      <c r="J23" s="235"/>
      <c r="K23" s="235"/>
      <c r="L23" s="235"/>
      <c r="M23" s="235"/>
      <c r="N23" s="235"/>
    </row>
    <row r="24" customFormat="false" ht="15" hidden="false" customHeight="true" outlineLevel="0" collapsed="false">
      <c r="A24" s="235" t="s">
        <v>2633</v>
      </c>
      <c r="B24" s="273" t="n">
        <f aca="false">'Fld Ops Payroll'!M5</f>
        <v>0.03</v>
      </c>
      <c r="C24" s="235" t="s">
        <v>2389</v>
      </c>
      <c r="D24" s="235" t="s">
        <v>2961</v>
      </c>
      <c r="E24" s="235"/>
      <c r="F24" s="235"/>
      <c r="G24" s="235"/>
      <c r="H24" s="235"/>
      <c r="I24" s="235"/>
      <c r="J24" s="235"/>
      <c r="K24" s="235"/>
      <c r="L24" s="235"/>
      <c r="M24" s="235"/>
      <c r="N24" s="235"/>
    </row>
    <row r="25" customFormat="false" ht="15" hidden="false" customHeight="true" outlineLevel="0" collapsed="false">
      <c r="A25" s="235" t="s">
        <v>2636</v>
      </c>
      <c r="B25" s="274" t="n">
        <f aca="false">'Fld Ops Payroll'!M6</f>
        <v>46661</v>
      </c>
      <c r="C25" s="235" t="s">
        <v>2800</v>
      </c>
      <c r="D25" s="235" t="s">
        <v>2962</v>
      </c>
      <c r="E25" s="235"/>
      <c r="F25" s="235"/>
      <c r="G25" s="235"/>
      <c r="H25" s="235"/>
      <c r="I25" s="235"/>
      <c r="J25" s="235"/>
      <c r="K25" s="235"/>
      <c r="L25" s="235"/>
      <c r="M25" s="235"/>
      <c r="N25" s="235"/>
    </row>
    <row r="26" customFormat="false" ht="15" hidden="false" customHeight="true" outlineLevel="0" collapsed="false">
      <c r="A26" s="235"/>
      <c r="B26" s="235"/>
      <c r="C26" s="235"/>
      <c r="D26" s="235"/>
      <c r="E26" s="235"/>
      <c r="F26" s="235"/>
      <c r="G26" s="235"/>
      <c r="H26" s="235"/>
      <c r="I26" s="235"/>
      <c r="J26" s="235"/>
      <c r="K26" s="235"/>
      <c r="L26" s="235"/>
      <c r="M26" s="235"/>
      <c r="N26" s="235"/>
    </row>
    <row r="27" customFormat="false" ht="15" hidden="false" customHeight="true" outlineLevel="0" collapsed="false">
      <c r="A27" s="269" t="s">
        <v>2963</v>
      </c>
      <c r="B27" s="275" t="n">
        <f aca="false">DATE(2026,1,1)</f>
        <v>46023</v>
      </c>
      <c r="C27" s="275" t="n">
        <f aca="false">DATE(2026,2,1)</f>
        <v>46054</v>
      </c>
      <c r="D27" s="275" t="n">
        <f aca="false">DATE(2026,3,1)</f>
        <v>46082</v>
      </c>
      <c r="E27" s="275" t="n">
        <f aca="false">DATE(2026,4,1)</f>
        <v>46113</v>
      </c>
      <c r="F27" s="275" t="n">
        <f aca="false">DATE(2026,5,1)</f>
        <v>46143</v>
      </c>
      <c r="G27" s="275" t="n">
        <f aca="false">DATE(2026,6,1)</f>
        <v>46174</v>
      </c>
      <c r="H27" s="275" t="n">
        <f aca="false">DATE(2026,7,1)</f>
        <v>46204</v>
      </c>
      <c r="I27" s="275" t="n">
        <f aca="false">DATE(2026,8,1)</f>
        <v>46235</v>
      </c>
      <c r="J27" s="275" t="n">
        <f aca="false">DATE(2026,9,1)</f>
        <v>46266</v>
      </c>
      <c r="K27" s="275" t="s">
        <v>2964</v>
      </c>
      <c r="L27" s="235"/>
      <c r="M27" s="235"/>
      <c r="N27" s="235"/>
    </row>
    <row r="28" customFormat="false" ht="15" hidden="false" customHeight="true" outlineLevel="0" collapsed="false">
      <c r="A28" s="235" t="s">
        <v>2965</v>
      </c>
      <c r="B28" s="276" t="n">
        <f aca="false">FE!B30</f>
        <v>6093.31</v>
      </c>
      <c r="C28" s="276" t="n">
        <f aca="false">FE!C30</f>
        <v>3188.15</v>
      </c>
      <c r="D28" s="276" t="n">
        <f aca="false">FE!D30</f>
        <v>6516.64</v>
      </c>
      <c r="E28" s="276" t="n">
        <f aca="false">FE!E30</f>
        <v>4232.23</v>
      </c>
      <c r="F28" s="276" t="n">
        <f aca="false">FE!F30</f>
        <v>13531.9</v>
      </c>
      <c r="G28" s="276" t="n">
        <f aca="false">FE!G30</f>
        <v>2938.06</v>
      </c>
      <c r="H28" s="276" t="n">
        <f aca="false">FE!H30</f>
        <v>3402.48</v>
      </c>
      <c r="I28" s="276" t="n">
        <f aca="false">FE!I30</f>
        <v>5552.25</v>
      </c>
      <c r="J28" s="276" t="n">
        <f aca="false">FE!J30</f>
        <v>13000</v>
      </c>
      <c r="K28" s="262" t="n">
        <f aca="false">SUM(B28:J28)</f>
        <v>58455.02</v>
      </c>
      <c r="L28" s="235"/>
      <c r="M28" s="235"/>
      <c r="N28" s="235"/>
    </row>
    <row r="29" customFormat="false" ht="15" hidden="false" customHeight="true" outlineLevel="0" collapsed="false">
      <c r="A29" s="235" t="s">
        <v>2966</v>
      </c>
      <c r="B29" s="276" t="n">
        <f aca="false">FE!B31</f>
        <v>623.1</v>
      </c>
      <c r="C29" s="276" t="n">
        <f aca="false">FE!C31</f>
        <v>491.08</v>
      </c>
      <c r="D29" s="276" t="n">
        <f aca="false">FE!D31</f>
        <v>878.77</v>
      </c>
      <c r="E29" s="276" t="n">
        <f aca="false">FE!E31</f>
        <v>846.11</v>
      </c>
      <c r="F29" s="276" t="n">
        <f aca="false">FE!F31</f>
        <v>1479.8</v>
      </c>
      <c r="G29" s="276" t="n">
        <f aca="false">FE!G31</f>
        <v>235.83</v>
      </c>
      <c r="H29" s="276" t="n">
        <f aca="false">FE!H31</f>
        <v>436.9</v>
      </c>
      <c r="I29" s="276" t="n">
        <f aca="false">FE!I31</f>
        <v>721.59</v>
      </c>
      <c r="J29" s="276" t="n">
        <f aca="false">FE!J31</f>
        <v>1400</v>
      </c>
      <c r="K29" s="262" t="n">
        <f aca="false">SUM(B29:J29)</f>
        <v>7113.18</v>
      </c>
      <c r="L29" s="235"/>
      <c r="M29" s="235"/>
      <c r="N29" s="235"/>
    </row>
    <row r="30" customFormat="false" ht="15" hidden="false" customHeight="true" outlineLevel="0" collapsed="false">
      <c r="A30" s="235" t="s">
        <v>2967</v>
      </c>
      <c r="B30" s="276" t="n">
        <f aca="false">FE!B74</f>
        <v>0</v>
      </c>
      <c r="C30" s="276" t="n">
        <f aca="false">FE!C74</f>
        <v>-773.5</v>
      </c>
      <c r="D30" s="276" t="n">
        <f aca="false">FE!D74</f>
        <v>1130.73</v>
      </c>
      <c r="E30" s="276" t="n">
        <f aca="false">FE!E74</f>
        <v>8303.22</v>
      </c>
      <c r="F30" s="276" t="n">
        <f aca="false">FE!F74</f>
        <v>2747.17</v>
      </c>
      <c r="G30" s="276" t="n">
        <f aca="false">FE!G74</f>
        <v>7608.77</v>
      </c>
      <c r="H30" s="276" t="n">
        <f aca="false">FE!H74</f>
        <v>1346.83</v>
      </c>
      <c r="I30" s="276" t="n">
        <f aca="false">FE!I74</f>
        <v>2646.86</v>
      </c>
      <c r="J30" s="276" t="n">
        <f aca="false">FE!J74</f>
        <v>3000</v>
      </c>
      <c r="K30" s="262" t="n">
        <f aca="false">SUM(B30:J30)</f>
        <v>26010.08</v>
      </c>
      <c r="L30" s="235"/>
      <c r="M30" s="235"/>
      <c r="N30" s="235"/>
    </row>
    <row r="31" customFormat="false" ht="15" hidden="false" customHeight="true" outlineLevel="0" collapsed="false">
      <c r="A31" s="235" t="s">
        <v>2968</v>
      </c>
      <c r="B31" s="276" t="n">
        <f aca="false">FE!B75</f>
        <v>12.29</v>
      </c>
      <c r="C31" s="276" t="n">
        <f aca="false">FE!C75</f>
        <v>0</v>
      </c>
      <c r="D31" s="276" t="n">
        <f aca="false">FE!D75</f>
        <v>0</v>
      </c>
      <c r="E31" s="276" t="n">
        <f aca="false">FE!E75</f>
        <v>2986.15</v>
      </c>
      <c r="F31" s="276" t="n">
        <f aca="false">FE!F75</f>
        <v>0</v>
      </c>
      <c r="G31" s="276" t="n">
        <f aca="false">FE!G75</f>
        <v>475.67</v>
      </c>
      <c r="H31" s="276" t="n">
        <f aca="false">FE!H75</f>
        <v>234.79</v>
      </c>
      <c r="I31" s="276" t="n">
        <f aca="false">FE!I75</f>
        <v>0</v>
      </c>
      <c r="J31" s="276" t="n">
        <f aca="false">FE!J75</f>
        <v>400</v>
      </c>
      <c r="K31" s="262" t="n">
        <f aca="false">SUM(B31:J31)</f>
        <v>4108.9</v>
      </c>
      <c r="L31" s="235"/>
      <c r="M31" s="235"/>
      <c r="N31" s="235"/>
    </row>
    <row r="32" customFormat="false" ht="15" hidden="false" customHeight="true" outlineLevel="0" collapsed="false">
      <c r="A32" s="235" t="s">
        <v>2969</v>
      </c>
      <c r="B32" s="276" t="n">
        <f aca="false">FE!B49</f>
        <v>60</v>
      </c>
      <c r="C32" s="276" t="n">
        <f aca="false">FE!C49</f>
        <v>0</v>
      </c>
      <c r="D32" s="276" t="n">
        <f aca="false">FE!D49</f>
        <v>281.44</v>
      </c>
      <c r="E32" s="276" t="n">
        <f aca="false">FE!E49</f>
        <v>302.03</v>
      </c>
      <c r="F32" s="276" t="n">
        <f aca="false">FE!F49</f>
        <v>0</v>
      </c>
      <c r="G32" s="276" t="n">
        <f aca="false">FE!G49</f>
        <v>0</v>
      </c>
      <c r="H32" s="276" t="n">
        <f aca="false">FE!H49</f>
        <v>0</v>
      </c>
      <c r="I32" s="276" t="n">
        <f aca="false">FE!I49</f>
        <v>471.85</v>
      </c>
      <c r="J32" s="276" t="n">
        <f aca="false">FE!J49</f>
        <v>0</v>
      </c>
      <c r="K32" s="262" t="n">
        <f aca="false">SUM(B32:J32)</f>
        <v>1115.32</v>
      </c>
      <c r="L32" s="235"/>
      <c r="M32" s="235"/>
      <c r="N32" s="235"/>
    </row>
    <row r="33" customFormat="false" ht="15" hidden="false" customHeight="true" outlineLevel="0" collapsed="false">
      <c r="A33" s="235" t="s">
        <v>2970</v>
      </c>
      <c r="B33" s="276" t="n">
        <f aca="false">FE!B50</f>
        <v>0</v>
      </c>
      <c r="C33" s="276" t="n">
        <f aca="false">FE!C50</f>
        <v>0</v>
      </c>
      <c r="D33" s="276" t="n">
        <f aca="false">FE!D50</f>
        <v>160.63</v>
      </c>
      <c r="E33" s="276" t="n">
        <f aca="false">FE!E50</f>
        <v>0</v>
      </c>
      <c r="F33" s="276" t="n">
        <f aca="false">FE!F50</f>
        <v>0</v>
      </c>
      <c r="G33" s="276" t="n">
        <f aca="false">FE!G50</f>
        <v>0</v>
      </c>
      <c r="H33" s="276" t="n">
        <f aca="false">FE!H50</f>
        <v>0</v>
      </c>
      <c r="I33" s="276" t="n">
        <f aca="false">FE!I50</f>
        <v>0</v>
      </c>
      <c r="J33" s="276" t="n">
        <f aca="false">FE!J50</f>
        <v>0</v>
      </c>
      <c r="K33" s="262" t="n">
        <f aca="false">SUM(B33:J33)</f>
        <v>160.63</v>
      </c>
      <c r="L33" s="235"/>
      <c r="M33" s="235"/>
      <c r="N33" s="235"/>
    </row>
    <row r="34" customFormat="false" ht="15" hidden="false" customHeight="true" outlineLevel="0" collapsed="false">
      <c r="A34" s="235"/>
      <c r="B34" s="267" t="s">
        <v>2971</v>
      </c>
      <c r="C34" s="235"/>
      <c r="D34" s="235"/>
      <c r="E34" s="235"/>
      <c r="F34" s="235"/>
      <c r="G34" s="235"/>
      <c r="H34" s="235"/>
      <c r="I34" s="235"/>
      <c r="J34" s="235"/>
      <c r="K34" s="235"/>
      <c r="L34" s="235"/>
      <c r="M34" s="235"/>
      <c r="N34" s="235"/>
    </row>
    <row r="35" customFormat="false" ht="15" hidden="false" customHeight="true" outlineLevel="0" collapsed="false">
      <c r="A35" s="235"/>
      <c r="B35" s="235"/>
      <c r="C35" s="235"/>
      <c r="D35" s="235"/>
      <c r="E35" s="235"/>
      <c r="F35" s="235"/>
      <c r="G35" s="235"/>
      <c r="H35" s="235"/>
      <c r="I35" s="235"/>
      <c r="J35" s="235"/>
      <c r="K35" s="235"/>
      <c r="L35" s="235"/>
      <c r="M35" s="235"/>
      <c r="N35" s="235"/>
    </row>
    <row r="36" customFormat="false" ht="15" hidden="false" customHeight="true" outlineLevel="0" collapsed="false">
      <c r="A36" s="269" t="s">
        <v>2972</v>
      </c>
      <c r="B36" s="269" t="s">
        <v>305</v>
      </c>
      <c r="C36" s="269" t="s">
        <v>2372</v>
      </c>
      <c r="D36" s="269" t="s">
        <v>2973</v>
      </c>
      <c r="E36" s="235"/>
      <c r="F36" s="235"/>
      <c r="G36" s="235"/>
      <c r="H36" s="235"/>
      <c r="I36" s="235"/>
      <c r="J36" s="235"/>
      <c r="K36" s="235"/>
      <c r="L36" s="235"/>
      <c r="M36" s="235"/>
      <c r="N36" s="235"/>
    </row>
    <row r="37" customFormat="false" ht="15" hidden="false" customHeight="true" outlineLevel="0" collapsed="false">
      <c r="A37" s="235" t="s">
        <v>2974</v>
      </c>
      <c r="B37" s="262" t="n">
        <f aca="false">SUM(B28:J29)</f>
        <v>65568.2</v>
      </c>
      <c r="C37" s="235" t="s">
        <v>2375</v>
      </c>
      <c r="D37" s="235" t="s">
        <v>2975</v>
      </c>
      <c r="E37" s="235"/>
      <c r="F37" s="235"/>
      <c r="G37" s="235"/>
      <c r="H37" s="235"/>
      <c r="I37" s="235"/>
      <c r="J37" s="235"/>
      <c r="K37" s="235"/>
      <c r="L37" s="235"/>
      <c r="M37" s="235"/>
      <c r="N37" s="235"/>
    </row>
    <row r="38" customFormat="false" ht="15" hidden="false" customHeight="true" outlineLevel="0" collapsed="false">
      <c r="A38" s="235" t="s">
        <v>2976</v>
      </c>
      <c r="B38" s="262" t="n">
        <f aca="false">F28+F29</f>
        <v>15011.7</v>
      </c>
      <c r="C38" s="235" t="s">
        <v>2375</v>
      </c>
      <c r="D38" s="235" t="s">
        <v>2977</v>
      </c>
      <c r="E38" s="235"/>
      <c r="F38" s="235"/>
      <c r="G38" s="235"/>
      <c r="H38" s="235"/>
      <c r="I38" s="235"/>
      <c r="J38" s="235"/>
      <c r="K38" s="235"/>
      <c r="L38" s="235"/>
      <c r="M38" s="235"/>
      <c r="N38" s="235"/>
    </row>
    <row r="39" customFormat="false" ht="15" hidden="false" customHeight="true" outlineLevel="0" collapsed="false">
      <c r="A39" s="235" t="s">
        <v>2978</v>
      </c>
      <c r="B39" s="262" t="n">
        <f aca="false">(SUM(B28:I29)-B38)/(COLUMNS(B28:I28)-1)</f>
        <v>5165.21428571429</v>
      </c>
      <c r="C39" s="235" t="s">
        <v>2782</v>
      </c>
      <c r="D39" s="235" t="s">
        <v>2979</v>
      </c>
      <c r="E39" s="235"/>
      <c r="F39" s="235"/>
      <c r="G39" s="235"/>
      <c r="H39" s="235"/>
      <c r="I39" s="235"/>
      <c r="J39" s="235"/>
      <c r="K39" s="235"/>
      <c r="L39" s="235"/>
      <c r="M39" s="235"/>
      <c r="N39" s="235"/>
    </row>
    <row r="40" customFormat="false" ht="15" hidden="false" customHeight="true" outlineLevel="0" collapsed="false">
      <c r="A40" s="235" t="s">
        <v>2980</v>
      </c>
      <c r="B40" s="262" t="n">
        <f aca="false">B38-B39</f>
        <v>9846.48571428571</v>
      </c>
      <c r="C40" s="235" t="s">
        <v>2375</v>
      </c>
      <c r="D40" s="235" t="s">
        <v>2981</v>
      </c>
      <c r="E40" s="235"/>
      <c r="F40" s="235"/>
      <c r="G40" s="235"/>
      <c r="H40" s="235"/>
      <c r="I40" s="235"/>
      <c r="J40" s="235"/>
      <c r="K40" s="235"/>
      <c r="L40" s="235"/>
      <c r="M40" s="235"/>
      <c r="N40" s="235"/>
    </row>
    <row r="41" customFormat="false" ht="15" hidden="false" customHeight="true" outlineLevel="0" collapsed="false">
      <c r="A41" s="235" t="s">
        <v>2982</v>
      </c>
      <c r="B41" s="262" t="n">
        <f aca="false">B37-B40</f>
        <v>55721.7142857143</v>
      </c>
      <c r="C41" s="235" t="s">
        <v>2375</v>
      </c>
      <c r="D41" s="235"/>
      <c r="E41" s="235"/>
      <c r="F41" s="235"/>
      <c r="G41" s="235"/>
      <c r="H41" s="235"/>
      <c r="I41" s="235"/>
      <c r="J41" s="235"/>
      <c r="K41" s="235"/>
      <c r="L41" s="235"/>
      <c r="M41" s="235"/>
      <c r="N41" s="235"/>
    </row>
    <row r="42" customFormat="false" ht="15" hidden="false" customHeight="true" outlineLevel="0" collapsed="false">
      <c r="A42" s="258" t="s">
        <v>2983</v>
      </c>
      <c r="B42" s="277" t="n">
        <f aca="false">IF(B10=0,0,B41/B10)</f>
        <v>6191.30158730159</v>
      </c>
      <c r="C42" s="235" t="s">
        <v>2984</v>
      </c>
      <c r="D42" s="235" t="s">
        <v>2985</v>
      </c>
      <c r="E42" s="235"/>
      <c r="F42" s="235"/>
      <c r="G42" s="235"/>
      <c r="H42" s="235"/>
      <c r="I42" s="235"/>
      <c r="J42" s="235"/>
      <c r="K42" s="235"/>
      <c r="L42" s="235"/>
      <c r="M42" s="235"/>
      <c r="N42" s="235"/>
    </row>
    <row r="43" customFormat="false" ht="15" hidden="false" customHeight="true" outlineLevel="0" collapsed="false">
      <c r="A43" s="235" t="s">
        <v>2986</v>
      </c>
      <c r="B43" s="261" t="n">
        <f aca="false">IF(B37=0,0,SUM(B29:J29)/B37)</f>
        <v>0.108485210818659</v>
      </c>
      <c r="C43" s="235" t="s">
        <v>2389</v>
      </c>
      <c r="D43" s="235" t="s">
        <v>2987</v>
      </c>
      <c r="E43" s="235"/>
      <c r="F43" s="235"/>
      <c r="G43" s="235"/>
      <c r="H43" s="235"/>
      <c r="I43" s="235"/>
      <c r="J43" s="235"/>
      <c r="K43" s="235"/>
      <c r="L43" s="235"/>
      <c r="M43" s="235"/>
      <c r="N43" s="235"/>
    </row>
    <row r="44" customFormat="false" ht="15" hidden="false" customHeight="true" outlineLevel="0" collapsed="false">
      <c r="A44" s="235" t="s">
        <v>2988</v>
      </c>
      <c r="B44" s="262" t="n">
        <f aca="false">SUM(B30:I33)/COLUMNS(B30:I30)</f>
        <v>3499.36625</v>
      </c>
      <c r="C44" s="235" t="s">
        <v>2782</v>
      </c>
      <c r="D44" s="235" t="s">
        <v>2989</v>
      </c>
      <c r="E44" s="235"/>
      <c r="F44" s="235"/>
      <c r="G44" s="235"/>
      <c r="H44" s="235"/>
      <c r="I44" s="235"/>
      <c r="J44" s="235"/>
      <c r="K44" s="235"/>
      <c r="L44" s="235"/>
      <c r="M44" s="235"/>
      <c r="N44" s="235"/>
    </row>
    <row r="45" customFormat="false" ht="15" hidden="false" customHeight="true" outlineLevel="0" collapsed="false">
      <c r="A45" s="235" t="s">
        <v>2990</v>
      </c>
      <c r="B45" s="261" t="n">
        <f aca="false">IF(SUM(B30:I33)=0,0,(SUM(B31:I31)+SUM(B33:I33))/SUM(B30:I33))</f>
        <v>0.138222528150633</v>
      </c>
      <c r="C45" s="235" t="s">
        <v>2389</v>
      </c>
      <c r="D45" s="235" t="s">
        <v>2991</v>
      </c>
      <c r="E45" s="235"/>
      <c r="F45" s="235"/>
      <c r="G45" s="235"/>
      <c r="H45" s="235"/>
      <c r="I45" s="235"/>
      <c r="J45" s="235"/>
      <c r="K45" s="235"/>
      <c r="L45" s="235"/>
      <c r="M45" s="235"/>
      <c r="N45" s="235"/>
    </row>
    <row r="46" customFormat="false" ht="15" hidden="false" customHeight="true" outlineLevel="0" collapsed="false">
      <c r="A46" s="258" t="s">
        <v>2992</v>
      </c>
      <c r="B46" s="277" t="n">
        <f aca="false">B44*(1+B9)</f>
        <v>4374.2078125</v>
      </c>
      <c r="C46" s="235" t="s">
        <v>2782</v>
      </c>
      <c r="D46" s="235" t="s">
        <v>2993</v>
      </c>
      <c r="E46" s="235"/>
      <c r="F46" s="235"/>
      <c r="G46" s="235"/>
      <c r="H46" s="235"/>
      <c r="I46" s="235"/>
      <c r="J46" s="235"/>
      <c r="K46" s="235"/>
      <c r="L46" s="235"/>
      <c r="M46" s="235"/>
      <c r="N46" s="235"/>
    </row>
    <row r="47" customFormat="false" ht="15" hidden="false" customHeight="true" outlineLevel="0" collapsed="false">
      <c r="A47" s="235"/>
      <c r="B47" s="235"/>
      <c r="C47" s="235"/>
      <c r="D47" s="235"/>
      <c r="E47" s="235"/>
      <c r="F47" s="235"/>
      <c r="G47" s="235"/>
      <c r="H47" s="235"/>
      <c r="I47" s="235"/>
      <c r="J47" s="235"/>
      <c r="K47" s="235"/>
      <c r="L47" s="235"/>
      <c r="M47" s="235"/>
      <c r="N47" s="235"/>
    </row>
    <row r="48" customFormat="false" ht="15" hidden="false" customHeight="true" outlineLevel="0" collapsed="false">
      <c r="A48" s="269" t="s">
        <v>2848</v>
      </c>
      <c r="B48" s="275" t="n">
        <f aca="false">DATE(2027,1,1)</f>
        <v>46388</v>
      </c>
      <c r="C48" s="275" t="n">
        <f aca="false">DATE(2027,2,1)</f>
        <v>46419</v>
      </c>
      <c r="D48" s="275" t="n">
        <f aca="false">DATE(2027,3,1)</f>
        <v>46447</v>
      </c>
      <c r="E48" s="275" t="n">
        <f aca="false">DATE(2027,4,1)</f>
        <v>46478</v>
      </c>
      <c r="F48" s="275" t="n">
        <f aca="false">DATE(2027,5,1)</f>
        <v>46508</v>
      </c>
      <c r="G48" s="275" t="n">
        <f aca="false">DATE(2027,6,1)</f>
        <v>46539</v>
      </c>
      <c r="H48" s="275" t="n">
        <f aca="false">DATE(2027,7,1)</f>
        <v>46569</v>
      </c>
      <c r="I48" s="275" t="n">
        <f aca="false">DATE(2027,8,1)</f>
        <v>46600</v>
      </c>
      <c r="J48" s="275" t="n">
        <f aca="false">DATE(2027,9,1)</f>
        <v>46631</v>
      </c>
      <c r="K48" s="275" t="n">
        <f aca="false">DATE(2027,10,1)</f>
        <v>46661</v>
      </c>
      <c r="L48" s="275" t="n">
        <f aca="false">DATE(2027,11,1)</f>
        <v>46692</v>
      </c>
      <c r="M48" s="275" t="n">
        <f aca="false">DATE(2027,12,1)</f>
        <v>46722</v>
      </c>
      <c r="N48" s="275" t="s">
        <v>2325</v>
      </c>
    </row>
    <row r="49" customFormat="false" ht="15" hidden="false" customHeight="true" outlineLevel="0" collapsed="false">
      <c r="A49" s="235" t="s">
        <v>2849</v>
      </c>
      <c r="B49" s="256" t="n">
        <f aca="false">N(DeploySum!F54)</f>
        <v>3</v>
      </c>
      <c r="C49" s="256" t="n">
        <f aca="false">N(DeploySum!G54)</f>
        <v>2</v>
      </c>
      <c r="D49" s="256" t="n">
        <f aca="false">N(DeploySum!H54)</f>
        <v>0</v>
      </c>
      <c r="E49" s="256" t="n">
        <f aca="false">N(DeploySum!I54)</f>
        <v>3</v>
      </c>
      <c r="F49" s="256" t="n">
        <f aca="false">N(DeploySum!J54)</f>
        <v>3</v>
      </c>
      <c r="G49" s="256" t="n">
        <f aca="false">N(DeploySum!K54)</f>
        <v>4</v>
      </c>
      <c r="H49" s="256" t="n">
        <f aca="false">N(DeploySum!L54)</f>
        <v>4</v>
      </c>
      <c r="I49" s="256" t="n">
        <f aca="false">N(DeploySum!M54)</f>
        <v>5</v>
      </c>
      <c r="J49" s="256" t="n">
        <f aca="false">N(DeploySum!N54)</f>
        <v>6</v>
      </c>
      <c r="K49" s="256" t="n">
        <f aca="false">N(DeploySum!O54)</f>
        <v>6</v>
      </c>
      <c r="L49" s="256" t="n">
        <f aca="false">N(DeploySum!P54)</f>
        <v>7</v>
      </c>
      <c r="M49" s="256" t="n">
        <f aca="false">N(DeploySum!Q54)</f>
        <v>8</v>
      </c>
      <c r="N49" s="257" t="n">
        <f aca="false">SUM(B49:M49)</f>
        <v>51</v>
      </c>
    </row>
    <row r="50" customFormat="false" ht="15" hidden="false" customHeight="true" outlineLevel="0" collapsed="false">
      <c r="A50" s="235" t="s">
        <v>2850</v>
      </c>
      <c r="B50" s="256" t="n">
        <f aca="false">N(DeploySum!F60)</f>
        <v>0</v>
      </c>
      <c r="C50" s="256" t="n">
        <f aca="false">N(DeploySum!G60)</f>
        <v>0</v>
      </c>
      <c r="D50" s="256" t="n">
        <f aca="false">N(DeploySum!H60)</f>
        <v>0</v>
      </c>
      <c r="E50" s="256" t="n">
        <f aca="false">N(DeploySum!I60)</f>
        <v>1</v>
      </c>
      <c r="F50" s="256" t="n">
        <f aca="false">N(DeploySum!J60)</f>
        <v>0</v>
      </c>
      <c r="G50" s="256" t="n">
        <f aca="false">N(DeploySum!K60)</f>
        <v>0</v>
      </c>
      <c r="H50" s="256" t="n">
        <f aca="false">N(DeploySum!L60)</f>
        <v>0</v>
      </c>
      <c r="I50" s="256" t="n">
        <f aca="false">N(DeploySum!M60)</f>
        <v>0</v>
      </c>
      <c r="J50" s="256" t="n">
        <f aca="false">N(DeploySum!N60)</f>
        <v>0</v>
      </c>
      <c r="K50" s="256" t="n">
        <f aca="false">N(DeploySum!O60)</f>
        <v>0</v>
      </c>
      <c r="L50" s="256" t="n">
        <f aca="false">N(DeploySum!P60)</f>
        <v>0</v>
      </c>
      <c r="M50" s="256" t="n">
        <f aca="false">N(DeploySum!Q60)</f>
        <v>0</v>
      </c>
      <c r="N50" s="257" t="n">
        <f aca="false">SUM(B50:M50)</f>
        <v>1</v>
      </c>
    </row>
    <row r="51" customFormat="false" ht="15" hidden="false" customHeight="true" outlineLevel="0" collapsed="false">
      <c r="A51" s="235" t="s">
        <v>2851</v>
      </c>
      <c r="B51" s="256" t="n">
        <f aca="false">N(DeploySum!F57)</f>
        <v>0</v>
      </c>
      <c r="C51" s="256" t="n">
        <f aca="false">N(DeploySum!G57)</f>
        <v>0</v>
      </c>
      <c r="D51" s="256" t="n">
        <f aca="false">N(DeploySum!H57)</f>
        <v>0</v>
      </c>
      <c r="E51" s="256" t="n">
        <f aca="false">N(DeploySum!I57)</f>
        <v>1</v>
      </c>
      <c r="F51" s="256" t="n">
        <f aca="false">N(DeploySum!J57)</f>
        <v>1</v>
      </c>
      <c r="G51" s="256" t="n">
        <f aca="false">N(DeploySum!K57)</f>
        <v>2</v>
      </c>
      <c r="H51" s="256" t="n">
        <f aca="false">N(DeploySum!L57)</f>
        <v>1</v>
      </c>
      <c r="I51" s="256" t="n">
        <f aca="false">N(DeploySum!M57)</f>
        <v>1</v>
      </c>
      <c r="J51" s="256" t="n">
        <f aca="false">N(DeploySum!N57)</f>
        <v>2</v>
      </c>
      <c r="K51" s="256" t="n">
        <f aca="false">N(DeploySum!O57)</f>
        <v>2</v>
      </c>
      <c r="L51" s="256" t="n">
        <f aca="false">N(DeploySum!P57)</f>
        <v>3</v>
      </c>
      <c r="M51" s="256" t="n">
        <f aca="false">N(DeploySum!Q57)</f>
        <v>2</v>
      </c>
      <c r="N51" s="257" t="n">
        <f aca="false">SUM(B51:M51)</f>
        <v>15</v>
      </c>
    </row>
    <row r="52" customFormat="false" ht="15" hidden="false" customHeight="true" outlineLevel="0" collapsed="false">
      <c r="A52" s="278" t="s">
        <v>2852</v>
      </c>
      <c r="B52" s="279" t="n">
        <f aca="false">B49+B50+B51</f>
        <v>3</v>
      </c>
      <c r="C52" s="279" t="n">
        <f aca="false">C49+C50+C51</f>
        <v>2</v>
      </c>
      <c r="D52" s="279" t="n">
        <f aca="false">D49+D50+D51</f>
        <v>0</v>
      </c>
      <c r="E52" s="279" t="n">
        <f aca="false">E49+E50+E51</f>
        <v>5</v>
      </c>
      <c r="F52" s="279" t="n">
        <f aca="false">F49+F50+F51</f>
        <v>4</v>
      </c>
      <c r="G52" s="279" t="n">
        <f aca="false">G49+G50+G51</f>
        <v>6</v>
      </c>
      <c r="H52" s="279" t="n">
        <f aca="false">H49+H50+H51</f>
        <v>5</v>
      </c>
      <c r="I52" s="279" t="n">
        <f aca="false">I49+I50+I51</f>
        <v>6</v>
      </c>
      <c r="J52" s="279" t="n">
        <f aca="false">J49+J50+J51</f>
        <v>8</v>
      </c>
      <c r="K52" s="279" t="n">
        <f aca="false">K49+K50+K51</f>
        <v>8</v>
      </c>
      <c r="L52" s="279" t="n">
        <f aca="false">L49+L50+L51</f>
        <v>10</v>
      </c>
      <c r="M52" s="279" t="n">
        <f aca="false">M49+M50+M51</f>
        <v>10</v>
      </c>
      <c r="N52" s="279" t="n">
        <f aca="false">SUM(B52:M52)</f>
        <v>67</v>
      </c>
    </row>
    <row r="53" customFormat="false" ht="15" hidden="false" customHeight="true" outlineLevel="0" collapsed="false">
      <c r="A53" s="235" t="s">
        <v>2994</v>
      </c>
      <c r="B53" s="257" t="n">
        <f aca="false">B51*$B$7</f>
        <v>0</v>
      </c>
      <c r="C53" s="257" t="n">
        <f aca="false">C51*$B$7</f>
        <v>0</v>
      </c>
      <c r="D53" s="257" t="n">
        <f aca="false">D51*$B$7</f>
        <v>0</v>
      </c>
      <c r="E53" s="257" t="n">
        <f aca="false">E51*$B$7</f>
        <v>0.6</v>
      </c>
      <c r="F53" s="257" t="n">
        <f aca="false">F51*$B$7</f>
        <v>0.6</v>
      </c>
      <c r="G53" s="257" t="n">
        <f aca="false">G51*$B$7</f>
        <v>1.2</v>
      </c>
      <c r="H53" s="257" t="n">
        <f aca="false">H51*$B$7</f>
        <v>0.6</v>
      </c>
      <c r="I53" s="257" t="n">
        <f aca="false">I51*$B$7</f>
        <v>0.6</v>
      </c>
      <c r="J53" s="257" t="n">
        <f aca="false">J51*$B$7</f>
        <v>1.2</v>
      </c>
      <c r="K53" s="257" t="n">
        <f aca="false">K51*$B$7</f>
        <v>1.2</v>
      </c>
      <c r="L53" s="257" t="n">
        <f aca="false">L51*$B$7</f>
        <v>1.8</v>
      </c>
      <c r="M53" s="257" t="n">
        <f aca="false">M51*$B$7</f>
        <v>1.2</v>
      </c>
      <c r="N53" s="257" t="n">
        <f aca="false">SUM(B53:M53)</f>
        <v>9</v>
      </c>
    </row>
    <row r="54" customFormat="false" ht="15" hidden="false" customHeight="true" outlineLevel="0" collapsed="false">
      <c r="A54" s="235" t="s">
        <v>2995</v>
      </c>
      <c r="B54" s="257" t="n">
        <f aca="false">B51-B53</f>
        <v>0</v>
      </c>
      <c r="C54" s="257" t="n">
        <f aca="false">C51-C53</f>
        <v>0</v>
      </c>
      <c r="D54" s="257" t="n">
        <f aca="false">D51-D53</f>
        <v>0</v>
      </c>
      <c r="E54" s="257" t="n">
        <f aca="false">E51-E53</f>
        <v>0.4</v>
      </c>
      <c r="F54" s="257" t="n">
        <f aca="false">F51-F53</f>
        <v>0.4</v>
      </c>
      <c r="G54" s="257" t="n">
        <f aca="false">G51-G53</f>
        <v>0.8</v>
      </c>
      <c r="H54" s="257" t="n">
        <f aca="false">H51-H53</f>
        <v>0.4</v>
      </c>
      <c r="I54" s="257" t="n">
        <f aca="false">I51-I53</f>
        <v>0.4</v>
      </c>
      <c r="J54" s="257" t="n">
        <f aca="false">J51-J53</f>
        <v>0.8</v>
      </c>
      <c r="K54" s="257" t="n">
        <f aca="false">K51-K53</f>
        <v>0.8</v>
      </c>
      <c r="L54" s="257" t="n">
        <f aca="false">L51-L53</f>
        <v>1.2</v>
      </c>
      <c r="M54" s="257" t="n">
        <f aca="false">M51-M53</f>
        <v>0.8</v>
      </c>
      <c r="N54" s="257" t="n">
        <f aca="false">SUM(B54:M54)</f>
        <v>6</v>
      </c>
    </row>
    <row r="55" customFormat="false" ht="15" hidden="false" customHeight="true" outlineLevel="0" collapsed="false">
      <c r="A55" s="258" t="s">
        <v>2996</v>
      </c>
      <c r="B55" s="259" t="n">
        <f aca="false">B49+B50+B53+B54*$B$8</f>
        <v>3</v>
      </c>
      <c r="C55" s="259" t="n">
        <f aca="false">C49+C50+C53+C54*$B$8</f>
        <v>2</v>
      </c>
      <c r="D55" s="259" t="n">
        <f aca="false">D49+D50+D53+D54*$B$8</f>
        <v>0</v>
      </c>
      <c r="E55" s="259" t="n">
        <f aca="false">E49+E50+E53+E54*$B$8</f>
        <v>4.72</v>
      </c>
      <c r="F55" s="259" t="n">
        <f aca="false">F49+F50+F53+F54*$B$8</f>
        <v>3.72</v>
      </c>
      <c r="G55" s="259" t="n">
        <f aca="false">G49+G50+G53+G54*$B$8</f>
        <v>5.44</v>
      </c>
      <c r="H55" s="259" t="n">
        <f aca="false">H49+H50+H53+H54*$B$8</f>
        <v>4.72</v>
      </c>
      <c r="I55" s="259" t="n">
        <f aca="false">I49+I50+I53+I54*$B$8</f>
        <v>5.72</v>
      </c>
      <c r="J55" s="259" t="n">
        <f aca="false">J49+J50+J53+J54*$B$8</f>
        <v>7.44</v>
      </c>
      <c r="K55" s="259" t="n">
        <f aca="false">K49+K50+K53+K54*$B$8</f>
        <v>7.44</v>
      </c>
      <c r="L55" s="259" t="n">
        <f aca="false">L49+L50+L53+L54*$B$8</f>
        <v>9.16</v>
      </c>
      <c r="M55" s="259" t="n">
        <f aca="false">M49+M50+M53+M54*$B$8</f>
        <v>9.44</v>
      </c>
      <c r="N55" s="259" t="n">
        <f aca="false">SUM(B55:M55)</f>
        <v>62.8</v>
      </c>
    </row>
    <row r="56" customFormat="false" ht="15" hidden="false" customHeight="true" outlineLevel="0" collapsed="false">
      <c r="A56" s="235" t="s">
        <v>2997</v>
      </c>
      <c r="B56" s="257" t="n">
        <f aca="false">IF($B$5=0,0,B52/$B$5)</f>
        <v>0.75</v>
      </c>
      <c r="C56" s="257" t="n">
        <f aca="false">IF($B$5=0,0,C52/$B$5)</f>
        <v>0.5</v>
      </c>
      <c r="D56" s="257" t="n">
        <f aca="false">IF($B$5=0,0,D52/$B$5)</f>
        <v>0</v>
      </c>
      <c r="E56" s="257" t="n">
        <f aca="false">IF($B$5=0,0,E52/$B$5)</f>
        <v>1.25</v>
      </c>
      <c r="F56" s="257" t="n">
        <f aca="false">IF($B$5=0,0,F52/$B$5)</f>
        <v>1</v>
      </c>
      <c r="G56" s="257" t="n">
        <f aca="false">IF($B$5=0,0,G52/$B$5)</f>
        <v>1.5</v>
      </c>
      <c r="H56" s="257" t="n">
        <f aca="false">IF($B$5=0,0,H52/$B$5)</f>
        <v>1.25</v>
      </c>
      <c r="I56" s="257" t="n">
        <f aca="false">IF($B$5=0,0,I52/$B$5)</f>
        <v>1.5</v>
      </c>
      <c r="J56" s="257" t="n">
        <f aca="false">IF($B$5=0,0,J52/$B$5)</f>
        <v>2</v>
      </c>
      <c r="K56" s="257" t="n">
        <f aca="false">IF($B$5=0,0,K52/$B$5)</f>
        <v>2</v>
      </c>
      <c r="L56" s="257" t="n">
        <f aca="false">IF($B$5=0,0,L52/$B$5)</f>
        <v>2.5</v>
      </c>
      <c r="M56" s="257" t="n">
        <f aca="false">IF($B$5=0,0,M52/$B$5)</f>
        <v>2.5</v>
      </c>
      <c r="N56" s="257"/>
    </row>
    <row r="57" customFormat="false" ht="15" hidden="false" customHeight="true" outlineLevel="0" collapsed="false">
      <c r="A57" s="235"/>
      <c r="B57" s="235"/>
      <c r="C57" s="235"/>
      <c r="D57" s="235"/>
      <c r="E57" s="235"/>
      <c r="F57" s="235"/>
      <c r="G57" s="235"/>
      <c r="H57" s="235"/>
      <c r="I57" s="235"/>
      <c r="J57" s="235"/>
      <c r="K57" s="235"/>
      <c r="L57" s="235"/>
      <c r="M57" s="235"/>
      <c r="N57" s="235"/>
    </row>
    <row r="58" customFormat="false" ht="15" hidden="false" customHeight="true" outlineLevel="0" collapsed="false">
      <c r="A58" s="269" t="s">
        <v>2998</v>
      </c>
      <c r="B58" s="275" t="n">
        <f aca="false">DATE(2027,1,1)</f>
        <v>46388</v>
      </c>
      <c r="C58" s="275" t="n">
        <f aca="false">DATE(2027,2,1)</f>
        <v>46419</v>
      </c>
      <c r="D58" s="275" t="n">
        <f aca="false">DATE(2027,3,1)</f>
        <v>46447</v>
      </c>
      <c r="E58" s="275" t="n">
        <f aca="false">DATE(2027,4,1)</f>
        <v>46478</v>
      </c>
      <c r="F58" s="275" t="n">
        <f aca="false">DATE(2027,5,1)</f>
        <v>46508</v>
      </c>
      <c r="G58" s="275" t="n">
        <f aca="false">DATE(2027,6,1)</f>
        <v>46539</v>
      </c>
      <c r="H58" s="275" t="n">
        <f aca="false">DATE(2027,7,1)</f>
        <v>46569</v>
      </c>
      <c r="I58" s="275" t="n">
        <f aca="false">DATE(2027,8,1)</f>
        <v>46600</v>
      </c>
      <c r="J58" s="275" t="n">
        <f aca="false">DATE(2027,9,1)</f>
        <v>46631</v>
      </c>
      <c r="K58" s="275" t="n">
        <f aca="false">DATE(2027,10,1)</f>
        <v>46661</v>
      </c>
      <c r="L58" s="275" t="n">
        <f aca="false">DATE(2027,11,1)</f>
        <v>46692</v>
      </c>
      <c r="M58" s="275" t="n">
        <f aca="false">DATE(2027,12,1)</f>
        <v>46722</v>
      </c>
      <c r="N58" s="275" t="s">
        <v>2325</v>
      </c>
    </row>
    <row r="59" customFormat="false" ht="15" hidden="false" customHeight="true" outlineLevel="0" collapsed="false">
      <c r="A59" s="235" t="str">
        <f aca="false">A13</f>
        <v>Field Engineer – Hogan Welch</v>
      </c>
      <c r="B59" s="262" t="n">
        <f aca="false">IF(B$58&gt;=$C$13,$B$13/12*(1+IF(B$58&gt;=$B$25,$B$24,0)),0)</f>
        <v>8215.91666666667</v>
      </c>
      <c r="C59" s="262" t="n">
        <f aca="false">IF(C$58&gt;=$C$13,$B$13/12*(1+IF(C$58&gt;=$B$25,$B$24,0)),0)</f>
        <v>8215.91666666667</v>
      </c>
      <c r="D59" s="262" t="n">
        <f aca="false">IF(D$58&gt;=$C$13,$B$13/12*(1+IF(D$58&gt;=$B$25,$B$24,0)),0)</f>
        <v>8215.91666666667</v>
      </c>
      <c r="E59" s="262" t="n">
        <f aca="false">IF(E$58&gt;=$C$13,$B$13/12*(1+IF(E$58&gt;=$B$25,$B$24,0)),0)</f>
        <v>8215.91666666667</v>
      </c>
      <c r="F59" s="262" t="n">
        <f aca="false">IF(F$58&gt;=$C$13,$B$13/12*(1+IF(F$58&gt;=$B$25,$B$24,0)),0)</f>
        <v>8215.91666666667</v>
      </c>
      <c r="G59" s="262" t="n">
        <f aca="false">IF(G$58&gt;=$C$13,$B$13/12*(1+IF(G$58&gt;=$B$25,$B$24,0)),0)</f>
        <v>8215.91666666667</v>
      </c>
      <c r="H59" s="262" t="n">
        <f aca="false">IF(H$58&gt;=$C$13,$B$13/12*(1+IF(H$58&gt;=$B$25,$B$24,0)),0)</f>
        <v>8215.91666666667</v>
      </c>
      <c r="I59" s="262" t="n">
        <f aca="false">IF(I$58&gt;=$C$13,$B$13/12*(1+IF(I$58&gt;=$B$25,$B$24,0)),0)</f>
        <v>8215.91666666667</v>
      </c>
      <c r="J59" s="262" t="n">
        <f aca="false">IF(J$58&gt;=$C$13,$B$13/12*(1+IF(J$58&gt;=$B$25,$B$24,0)),0)</f>
        <v>8215.91666666667</v>
      </c>
      <c r="K59" s="262" t="n">
        <f aca="false">IF(K$58&gt;=$C$13,$B$13/12*(1+IF(K$58&gt;=$B$25,$B$24,0)),0)</f>
        <v>8462.39416666667</v>
      </c>
      <c r="L59" s="262" t="n">
        <f aca="false">IF(L$58&gt;=$C$13,$B$13/12*(1+IF(L$58&gt;=$B$25,$B$24,0)),0)</f>
        <v>8462.39416666667</v>
      </c>
      <c r="M59" s="262" t="n">
        <f aca="false">IF(M$58&gt;=$C$13,$B$13/12*(1+IF(M$58&gt;=$B$25,$B$24,0)),0)</f>
        <v>8462.39416666667</v>
      </c>
      <c r="N59" s="262" t="n">
        <f aca="false">SUM(B59:M59)</f>
        <v>99330.4325</v>
      </c>
    </row>
    <row r="60" customFormat="false" ht="15" hidden="false" customHeight="true" outlineLevel="0" collapsed="false">
      <c r="A60" s="235" t="str">
        <f aca="false">A14</f>
        <v>Field Engineer – James Mead</v>
      </c>
      <c r="B60" s="262" t="n">
        <f aca="false">IF(B$58&gt;=$C$14,$B$14/12*(1+IF(B$58&gt;=$B$25,$B$24,0)),0)</f>
        <v>6006.66666666667</v>
      </c>
      <c r="C60" s="262" t="n">
        <f aca="false">IF(C$58&gt;=$C$14,$B$14/12*(1+IF(C$58&gt;=$B$25,$B$24,0)),0)</f>
        <v>6006.66666666667</v>
      </c>
      <c r="D60" s="262" t="n">
        <f aca="false">IF(D$58&gt;=$C$14,$B$14/12*(1+IF(D$58&gt;=$B$25,$B$24,0)),0)</f>
        <v>6006.66666666667</v>
      </c>
      <c r="E60" s="262" t="n">
        <f aca="false">IF(E$58&gt;=$C$14,$B$14/12*(1+IF(E$58&gt;=$B$25,$B$24,0)),0)</f>
        <v>6006.66666666667</v>
      </c>
      <c r="F60" s="262" t="n">
        <f aca="false">IF(F$58&gt;=$C$14,$B$14/12*(1+IF(F$58&gt;=$B$25,$B$24,0)),0)</f>
        <v>6006.66666666667</v>
      </c>
      <c r="G60" s="262" t="n">
        <f aca="false">IF(G$58&gt;=$C$14,$B$14/12*(1+IF(G$58&gt;=$B$25,$B$24,0)),0)</f>
        <v>6006.66666666667</v>
      </c>
      <c r="H60" s="262" t="n">
        <f aca="false">IF(H$58&gt;=$C$14,$B$14/12*(1+IF(H$58&gt;=$B$25,$B$24,0)),0)</f>
        <v>6006.66666666667</v>
      </c>
      <c r="I60" s="262" t="n">
        <f aca="false">IF(I$58&gt;=$C$14,$B$14/12*(1+IF(I$58&gt;=$B$25,$B$24,0)),0)</f>
        <v>6006.66666666667</v>
      </c>
      <c r="J60" s="262" t="n">
        <f aca="false">IF(J$58&gt;=$C$14,$B$14/12*(1+IF(J$58&gt;=$B$25,$B$24,0)),0)</f>
        <v>6006.66666666667</v>
      </c>
      <c r="K60" s="262" t="n">
        <f aca="false">IF(K$58&gt;=$C$14,$B$14/12*(1+IF(K$58&gt;=$B$25,$B$24,0)),0)</f>
        <v>6186.86666666667</v>
      </c>
      <c r="L60" s="262" t="n">
        <f aca="false">IF(L$58&gt;=$C$14,$B$14/12*(1+IF(L$58&gt;=$B$25,$B$24,0)),0)</f>
        <v>6186.86666666667</v>
      </c>
      <c r="M60" s="262" t="n">
        <f aca="false">IF(M$58&gt;=$C$14,$B$14/12*(1+IF(M$58&gt;=$B$25,$B$24,0)),0)</f>
        <v>6186.86666666667</v>
      </c>
      <c r="N60" s="262" t="n">
        <f aca="false">SUM(B60:M60)</f>
        <v>72620.6</v>
      </c>
    </row>
    <row r="61" customFormat="false" ht="15" hidden="false" customHeight="true" outlineLevel="0" collapsed="false">
      <c r="A61" s="235" t="str">
        <f aca="false">A15</f>
        <v>Field Engineer – James Murphy</v>
      </c>
      <c r="B61" s="262" t="n">
        <f aca="false">IF(B$58&gt;=$C$15,$B$15/12*(1+IF(B$58&gt;=$B$25,$B$24,0)),0)</f>
        <v>6250</v>
      </c>
      <c r="C61" s="262" t="n">
        <f aca="false">IF(C$58&gt;=$C$15,$B$15/12*(1+IF(C$58&gt;=$B$25,$B$24,0)),0)</f>
        <v>6250</v>
      </c>
      <c r="D61" s="262" t="n">
        <f aca="false">IF(D$58&gt;=$C$15,$B$15/12*(1+IF(D$58&gt;=$B$25,$B$24,0)),0)</f>
        <v>6250</v>
      </c>
      <c r="E61" s="262" t="n">
        <f aca="false">IF(E$58&gt;=$C$15,$B$15/12*(1+IF(E$58&gt;=$B$25,$B$24,0)),0)</f>
        <v>6250</v>
      </c>
      <c r="F61" s="262" t="n">
        <f aca="false">IF(F$58&gt;=$C$15,$B$15/12*(1+IF(F$58&gt;=$B$25,$B$24,0)),0)</f>
        <v>6250</v>
      </c>
      <c r="G61" s="262" t="n">
        <f aca="false">IF(G$58&gt;=$C$15,$B$15/12*(1+IF(G$58&gt;=$B$25,$B$24,0)),0)</f>
        <v>6250</v>
      </c>
      <c r="H61" s="262" t="n">
        <f aca="false">IF(H$58&gt;=$C$15,$B$15/12*(1+IF(H$58&gt;=$B$25,$B$24,0)),0)</f>
        <v>6250</v>
      </c>
      <c r="I61" s="262" t="n">
        <f aca="false">IF(I$58&gt;=$C$15,$B$15/12*(1+IF(I$58&gt;=$B$25,$B$24,0)),0)</f>
        <v>6250</v>
      </c>
      <c r="J61" s="262" t="n">
        <f aca="false">IF(J$58&gt;=$C$15,$B$15/12*(1+IF(J$58&gt;=$B$25,$B$24,0)),0)</f>
        <v>6250</v>
      </c>
      <c r="K61" s="262" t="n">
        <f aca="false">IF(K$58&gt;=$C$15,$B$15/12*(1+IF(K$58&gt;=$B$25,$B$24,0)),0)</f>
        <v>6437.5</v>
      </c>
      <c r="L61" s="262" t="n">
        <f aca="false">IF(L$58&gt;=$C$15,$B$15/12*(1+IF(L$58&gt;=$B$25,$B$24,0)),0)</f>
        <v>6437.5</v>
      </c>
      <c r="M61" s="262" t="n">
        <f aca="false">IF(M$58&gt;=$C$15,$B$15/12*(1+IF(M$58&gt;=$B$25,$B$24,0)),0)</f>
        <v>6437.5</v>
      </c>
      <c r="N61" s="262" t="n">
        <f aca="false">SUM(B61:M61)</f>
        <v>75562.5</v>
      </c>
    </row>
    <row r="62" customFormat="false" ht="15" hidden="false" customHeight="true" outlineLevel="0" collapsed="false">
      <c r="A62" s="235" t="str">
        <f aca="false">A16</f>
        <v>Field Engineer – Elizabeth Ferry</v>
      </c>
      <c r="B62" s="262" t="n">
        <f aca="false">IF(B$58&gt;=$C$16,$B$16/12*(1+IF(B$58&gt;=$B$25,$B$24,0)),0)</f>
        <v>5833.33333333333</v>
      </c>
      <c r="C62" s="262" t="n">
        <f aca="false">IF(C$58&gt;=$C$16,$B$16/12*(1+IF(C$58&gt;=$B$25,$B$24,0)),0)</f>
        <v>5833.33333333333</v>
      </c>
      <c r="D62" s="262" t="n">
        <f aca="false">IF(D$58&gt;=$C$16,$B$16/12*(1+IF(D$58&gt;=$B$25,$B$24,0)),0)</f>
        <v>5833.33333333333</v>
      </c>
      <c r="E62" s="262" t="n">
        <f aca="false">IF(E$58&gt;=$C$16,$B$16/12*(1+IF(E$58&gt;=$B$25,$B$24,0)),0)</f>
        <v>5833.33333333333</v>
      </c>
      <c r="F62" s="262" t="n">
        <f aca="false">IF(F$58&gt;=$C$16,$B$16/12*(1+IF(F$58&gt;=$B$25,$B$24,0)),0)</f>
        <v>5833.33333333333</v>
      </c>
      <c r="G62" s="262" t="n">
        <f aca="false">IF(G$58&gt;=$C$16,$B$16/12*(1+IF(G$58&gt;=$B$25,$B$24,0)),0)</f>
        <v>5833.33333333333</v>
      </c>
      <c r="H62" s="262" t="n">
        <f aca="false">IF(H$58&gt;=$C$16,$B$16/12*(1+IF(H$58&gt;=$B$25,$B$24,0)),0)</f>
        <v>5833.33333333333</v>
      </c>
      <c r="I62" s="262" t="n">
        <f aca="false">IF(I$58&gt;=$C$16,$B$16/12*(1+IF(I$58&gt;=$B$25,$B$24,0)),0)</f>
        <v>5833.33333333333</v>
      </c>
      <c r="J62" s="262" t="n">
        <f aca="false">IF(J$58&gt;=$C$16,$B$16/12*(1+IF(J$58&gt;=$B$25,$B$24,0)),0)</f>
        <v>5833.33333333333</v>
      </c>
      <c r="K62" s="262" t="n">
        <f aca="false">IF(K$58&gt;=$C$16,$B$16/12*(1+IF(K$58&gt;=$B$25,$B$24,0)),0)</f>
        <v>6008.33333333333</v>
      </c>
      <c r="L62" s="262" t="n">
        <f aca="false">IF(L$58&gt;=$C$16,$B$16/12*(1+IF(L$58&gt;=$B$25,$B$24,0)),0)</f>
        <v>6008.33333333333</v>
      </c>
      <c r="M62" s="262" t="n">
        <f aca="false">IF(M$58&gt;=$C$16,$B$16/12*(1+IF(M$58&gt;=$B$25,$B$24,0)),0)</f>
        <v>6008.33333333333</v>
      </c>
      <c r="N62" s="262" t="n">
        <f aca="false">SUM(B62:M62)</f>
        <v>70525</v>
      </c>
    </row>
    <row r="63" customFormat="false" ht="15" hidden="false" customHeight="true" outlineLevel="0" collapsed="false">
      <c r="A63" s="235" t="str">
        <f aca="false">A17</f>
        <v>Customer Support Manager – Seng</v>
      </c>
      <c r="B63" s="262" t="n">
        <f aca="false">IF(B$58&gt;=$C$17,$B$17/12*(1+IF(B$58&gt;=$B$25,$B$24,0)),0)</f>
        <v>13333.3333333333</v>
      </c>
      <c r="C63" s="262" t="n">
        <f aca="false">IF(C$58&gt;=$C$17,$B$17/12*(1+IF(C$58&gt;=$B$25,$B$24,0)),0)</f>
        <v>13333.3333333333</v>
      </c>
      <c r="D63" s="262" t="n">
        <f aca="false">IF(D$58&gt;=$C$17,$B$17/12*(1+IF(D$58&gt;=$B$25,$B$24,0)),0)</f>
        <v>13333.3333333333</v>
      </c>
      <c r="E63" s="262" t="n">
        <f aca="false">IF(E$58&gt;=$C$17,$B$17/12*(1+IF(E$58&gt;=$B$25,$B$24,0)),0)</f>
        <v>13333.3333333333</v>
      </c>
      <c r="F63" s="262" t="n">
        <f aca="false">IF(F$58&gt;=$C$17,$B$17/12*(1+IF(F$58&gt;=$B$25,$B$24,0)),0)</f>
        <v>13333.3333333333</v>
      </c>
      <c r="G63" s="262" t="n">
        <f aca="false">IF(G$58&gt;=$C$17,$B$17/12*(1+IF(G$58&gt;=$B$25,$B$24,0)),0)</f>
        <v>13333.3333333333</v>
      </c>
      <c r="H63" s="262" t="n">
        <f aca="false">IF(H$58&gt;=$C$17,$B$17/12*(1+IF(H$58&gt;=$B$25,$B$24,0)),0)</f>
        <v>13333.3333333333</v>
      </c>
      <c r="I63" s="262" t="n">
        <f aca="false">IF(I$58&gt;=$C$17,$B$17/12*(1+IF(I$58&gt;=$B$25,$B$24,0)),0)</f>
        <v>13333.3333333333</v>
      </c>
      <c r="J63" s="262" t="n">
        <f aca="false">IF(J$58&gt;=$C$17,$B$17/12*(1+IF(J$58&gt;=$B$25,$B$24,0)),0)</f>
        <v>13333.3333333333</v>
      </c>
      <c r="K63" s="262" t="n">
        <f aca="false">IF(K$58&gt;=$C$17,$B$17/12*(1+IF(K$58&gt;=$B$25,$B$24,0)),0)</f>
        <v>13733.3333333333</v>
      </c>
      <c r="L63" s="262" t="n">
        <f aca="false">IF(L$58&gt;=$C$17,$B$17/12*(1+IF(L$58&gt;=$B$25,$B$24,0)),0)</f>
        <v>13733.3333333333</v>
      </c>
      <c r="M63" s="262" t="n">
        <f aca="false">IF(M$58&gt;=$C$17,$B$17/12*(1+IF(M$58&gt;=$B$25,$B$24,0)),0)</f>
        <v>13733.3333333333</v>
      </c>
      <c r="N63" s="262" t="n">
        <f aca="false">SUM(B63:M63)</f>
        <v>161200</v>
      </c>
    </row>
    <row r="64" customFormat="false" ht="15" hidden="false" customHeight="true" outlineLevel="0" collapsed="false">
      <c r="A64" s="235" t="str">
        <f aca="false">A18</f>
        <v>Customer Support Specialist – Jessica</v>
      </c>
      <c r="B64" s="262" t="n">
        <f aca="false">IF(B$58&gt;=$C$18,$B$18/12*(1+IF(B$58&gt;=$B$25,$B$24,0)),0)</f>
        <v>5416.66666666667</v>
      </c>
      <c r="C64" s="262" t="n">
        <f aca="false">IF(C$58&gt;=$C$18,$B$18/12*(1+IF(C$58&gt;=$B$25,$B$24,0)),0)</f>
        <v>5416.66666666667</v>
      </c>
      <c r="D64" s="262" t="n">
        <f aca="false">IF(D$58&gt;=$C$18,$B$18/12*(1+IF(D$58&gt;=$B$25,$B$24,0)),0)</f>
        <v>5416.66666666667</v>
      </c>
      <c r="E64" s="262" t="n">
        <f aca="false">IF(E$58&gt;=$C$18,$B$18/12*(1+IF(E$58&gt;=$B$25,$B$24,0)),0)</f>
        <v>5416.66666666667</v>
      </c>
      <c r="F64" s="262" t="n">
        <f aca="false">IF(F$58&gt;=$C$18,$B$18/12*(1+IF(F$58&gt;=$B$25,$B$24,0)),0)</f>
        <v>5416.66666666667</v>
      </c>
      <c r="G64" s="262" t="n">
        <f aca="false">IF(G$58&gt;=$C$18,$B$18/12*(1+IF(G$58&gt;=$B$25,$B$24,0)),0)</f>
        <v>5416.66666666667</v>
      </c>
      <c r="H64" s="262" t="n">
        <f aca="false">IF(H$58&gt;=$C$18,$B$18/12*(1+IF(H$58&gt;=$B$25,$B$24,0)),0)</f>
        <v>5416.66666666667</v>
      </c>
      <c r="I64" s="262" t="n">
        <f aca="false">IF(I$58&gt;=$C$18,$B$18/12*(1+IF(I$58&gt;=$B$25,$B$24,0)),0)</f>
        <v>5416.66666666667</v>
      </c>
      <c r="J64" s="262" t="n">
        <f aca="false">IF(J$58&gt;=$C$18,$B$18/12*(1+IF(J$58&gt;=$B$25,$B$24,0)),0)</f>
        <v>5416.66666666667</v>
      </c>
      <c r="K64" s="262" t="n">
        <f aca="false">IF(K$58&gt;=$C$18,$B$18/12*(1+IF(K$58&gt;=$B$25,$B$24,0)),0)</f>
        <v>5579.16666666667</v>
      </c>
      <c r="L64" s="262" t="n">
        <f aca="false">IF(L$58&gt;=$C$18,$B$18/12*(1+IF(L$58&gt;=$B$25,$B$24,0)),0)</f>
        <v>5579.16666666667</v>
      </c>
      <c r="M64" s="262" t="n">
        <f aca="false">IF(M$58&gt;=$C$18,$B$18/12*(1+IF(M$58&gt;=$B$25,$B$24,0)),0)</f>
        <v>5579.16666666667</v>
      </c>
      <c r="N64" s="262" t="n">
        <f aca="false">SUM(B64:M64)</f>
        <v>65487.5</v>
      </c>
    </row>
    <row r="65" customFormat="false" ht="15" hidden="false" customHeight="true" outlineLevel="0" collapsed="false">
      <c r="A65" s="235" t="str">
        <f aca="false">A19</f>
        <v>Customer Support Specialist – New hire</v>
      </c>
      <c r="B65" s="262" t="n">
        <f aca="false">IF(B$58&gt;=$C$19,$B$19/12*(1+IF(B$58&gt;=$B$25,$B$24,0)),0)</f>
        <v>0</v>
      </c>
      <c r="C65" s="262" t="n">
        <f aca="false">IF(C$58&gt;=$C$19,$B$19/12*(1+IF(C$58&gt;=$B$25,$B$24,0)),0)</f>
        <v>0</v>
      </c>
      <c r="D65" s="262" t="n">
        <f aca="false">IF(D$58&gt;=$C$19,$B$19/12*(1+IF(D$58&gt;=$B$25,$B$24,0)),0)</f>
        <v>0</v>
      </c>
      <c r="E65" s="262" t="n">
        <f aca="false">IF(E$58&gt;=$C$19,$B$19/12*(1+IF(E$58&gt;=$B$25,$B$24,0)),0)</f>
        <v>0</v>
      </c>
      <c r="F65" s="262" t="n">
        <f aca="false">IF(F$58&gt;=$C$19,$B$19/12*(1+IF(F$58&gt;=$B$25,$B$24,0)),0)</f>
        <v>0</v>
      </c>
      <c r="G65" s="262" t="n">
        <f aca="false">IF(G$58&gt;=$C$19,$B$19/12*(1+IF(G$58&gt;=$B$25,$B$24,0)),0)</f>
        <v>0</v>
      </c>
      <c r="H65" s="262" t="n">
        <f aca="false">IF(H$58&gt;=$C$19,$B$19/12*(1+IF(H$58&gt;=$B$25,$B$24,0)),0)</f>
        <v>0</v>
      </c>
      <c r="I65" s="262" t="n">
        <f aca="false">IF(I$58&gt;=$C$19,$B$19/12*(1+IF(I$58&gt;=$B$25,$B$24,0)),0)</f>
        <v>5416.66666666667</v>
      </c>
      <c r="J65" s="262" t="n">
        <f aca="false">IF(J$58&gt;=$C$19,$B$19/12*(1+IF(J$58&gt;=$B$25,$B$24,0)),0)</f>
        <v>5416.66666666667</v>
      </c>
      <c r="K65" s="262" t="n">
        <f aca="false">IF(K$58&gt;=$C$19,$B$19/12*(1+IF(K$58&gt;=$B$25,$B$24,0)),0)</f>
        <v>5579.16666666667</v>
      </c>
      <c r="L65" s="262" t="n">
        <f aca="false">IF(L$58&gt;=$C$19,$B$19/12*(1+IF(L$58&gt;=$B$25,$B$24,0)),0)</f>
        <v>5579.16666666667</v>
      </c>
      <c r="M65" s="262" t="n">
        <f aca="false">IF(M$58&gt;=$C$19,$B$19/12*(1+IF(M$58&gt;=$B$25,$B$24,0)),0)</f>
        <v>5579.16666666667</v>
      </c>
      <c r="N65" s="262" t="n">
        <f aca="false">SUM(B65:M65)</f>
        <v>27570.8333333333</v>
      </c>
    </row>
    <row r="66" customFormat="false" ht="15" hidden="false" customHeight="true" outlineLevel="0" collapsed="false">
      <c r="A66" s="235" t="str">
        <f aca="false">A20</f>
        <v>Field Engineering Manager</v>
      </c>
      <c r="B66" s="262" t="n">
        <f aca="false">IF(B$58&gt;=$C$20,$B$20/12*(1+IF(B$58&gt;=$B$25,$B$24,0)),0)</f>
        <v>11666.6666666667</v>
      </c>
      <c r="C66" s="262" t="n">
        <f aca="false">IF(C$58&gt;=$C$20,$B$20/12*(1+IF(C$58&gt;=$B$25,$B$24,0)),0)</f>
        <v>11666.6666666667</v>
      </c>
      <c r="D66" s="262" t="n">
        <f aca="false">IF(D$58&gt;=$C$20,$B$20/12*(1+IF(D$58&gt;=$B$25,$B$24,0)),0)</f>
        <v>11666.6666666667</v>
      </c>
      <c r="E66" s="262" t="n">
        <f aca="false">IF(E$58&gt;=$C$20,$B$20/12*(1+IF(E$58&gt;=$B$25,$B$24,0)),0)</f>
        <v>11666.6666666667</v>
      </c>
      <c r="F66" s="262" t="n">
        <f aca="false">IF(F$58&gt;=$C$20,$B$20/12*(1+IF(F$58&gt;=$B$25,$B$24,0)),0)</f>
        <v>11666.6666666667</v>
      </c>
      <c r="G66" s="262" t="n">
        <f aca="false">IF(G$58&gt;=$C$20,$B$20/12*(1+IF(G$58&gt;=$B$25,$B$24,0)),0)</f>
        <v>11666.6666666667</v>
      </c>
      <c r="H66" s="262" t="n">
        <f aca="false">IF(H$58&gt;=$C$20,$B$20/12*(1+IF(H$58&gt;=$B$25,$B$24,0)),0)</f>
        <v>11666.6666666667</v>
      </c>
      <c r="I66" s="262" t="n">
        <f aca="false">IF(I$58&gt;=$C$20,$B$20/12*(1+IF(I$58&gt;=$B$25,$B$24,0)),0)</f>
        <v>11666.6666666667</v>
      </c>
      <c r="J66" s="262" t="n">
        <f aca="false">IF(J$58&gt;=$C$20,$B$20/12*(1+IF(J$58&gt;=$B$25,$B$24,0)),0)</f>
        <v>11666.6666666667</v>
      </c>
      <c r="K66" s="262" t="n">
        <f aca="false">IF(K$58&gt;=$C$20,$B$20/12*(1+IF(K$58&gt;=$B$25,$B$24,0)),0)</f>
        <v>12016.6666666667</v>
      </c>
      <c r="L66" s="262" t="n">
        <f aca="false">IF(L$58&gt;=$C$20,$B$20/12*(1+IF(L$58&gt;=$B$25,$B$24,0)),0)</f>
        <v>12016.6666666667</v>
      </c>
      <c r="M66" s="262" t="n">
        <f aca="false">IF(M$58&gt;=$C$20,$B$20/12*(1+IF(M$58&gt;=$B$25,$B$24,0)),0)</f>
        <v>12016.6666666667</v>
      </c>
      <c r="N66" s="262" t="n">
        <f aca="false">SUM(B66:M66)</f>
        <v>141050</v>
      </c>
    </row>
    <row r="67" customFormat="false" ht="15" hidden="false" customHeight="true" outlineLevel="0" collapsed="false">
      <c r="A67" s="235" t="str">
        <f aca="false">A21</f>
        <v>Head of Service Delivery – Rasheen Henry</v>
      </c>
      <c r="B67" s="262" t="n">
        <f aca="false">IF(B$58&gt;=$C$21,$B$21/12*(1+IF(B$58&gt;=$B$25,$B$24,0)),0)</f>
        <v>17083.3333333333</v>
      </c>
      <c r="C67" s="262" t="n">
        <f aca="false">IF(C$58&gt;=$C$21,$B$21/12*(1+IF(C$58&gt;=$B$25,$B$24,0)),0)</f>
        <v>17083.3333333333</v>
      </c>
      <c r="D67" s="262" t="n">
        <f aca="false">IF(D$58&gt;=$C$21,$B$21/12*(1+IF(D$58&gt;=$B$25,$B$24,0)),0)</f>
        <v>17083.3333333333</v>
      </c>
      <c r="E67" s="262" t="n">
        <f aca="false">IF(E$58&gt;=$C$21,$B$21/12*(1+IF(E$58&gt;=$B$25,$B$24,0)),0)</f>
        <v>17083.3333333333</v>
      </c>
      <c r="F67" s="262" t="n">
        <f aca="false">IF(F$58&gt;=$C$21,$B$21/12*(1+IF(F$58&gt;=$B$25,$B$24,0)),0)</f>
        <v>17083.3333333333</v>
      </c>
      <c r="G67" s="262" t="n">
        <f aca="false">IF(G$58&gt;=$C$21,$B$21/12*(1+IF(G$58&gt;=$B$25,$B$24,0)),0)</f>
        <v>17083.3333333333</v>
      </c>
      <c r="H67" s="262" t="n">
        <f aca="false">IF(H$58&gt;=$C$21,$B$21/12*(1+IF(H$58&gt;=$B$25,$B$24,0)),0)</f>
        <v>17083.3333333333</v>
      </c>
      <c r="I67" s="262" t="n">
        <f aca="false">IF(I$58&gt;=$C$21,$B$21/12*(1+IF(I$58&gt;=$B$25,$B$24,0)),0)</f>
        <v>17083.3333333333</v>
      </c>
      <c r="J67" s="262" t="n">
        <f aca="false">IF(J$58&gt;=$C$21,$B$21/12*(1+IF(J$58&gt;=$B$25,$B$24,0)),0)</f>
        <v>17083.3333333333</v>
      </c>
      <c r="K67" s="262" t="n">
        <f aca="false">IF(K$58&gt;=$C$21,$B$21/12*(1+IF(K$58&gt;=$B$25,$B$24,0)),0)</f>
        <v>17595.8333333333</v>
      </c>
      <c r="L67" s="262" t="n">
        <f aca="false">IF(L$58&gt;=$C$21,$B$21/12*(1+IF(L$58&gt;=$B$25,$B$24,0)),0)</f>
        <v>17595.8333333333</v>
      </c>
      <c r="M67" s="262" t="n">
        <f aca="false">IF(M$58&gt;=$C$21,$B$21/12*(1+IF(M$58&gt;=$B$25,$B$24,0)),0)</f>
        <v>17595.8333333333</v>
      </c>
      <c r="N67" s="262" t="n">
        <f aca="false">SUM(B67:M67)</f>
        <v>206537.5</v>
      </c>
    </row>
    <row r="68" customFormat="false" ht="15" hidden="false" customHeight="true" outlineLevel="0" collapsed="false">
      <c r="A68" s="280" t="s">
        <v>2999</v>
      </c>
      <c r="B68" s="281" t="n">
        <f aca="false">SUM(B59:B67)</f>
        <v>73805.9166666667</v>
      </c>
      <c r="C68" s="281" t="n">
        <f aca="false">SUM(C59:C67)</f>
        <v>73805.9166666667</v>
      </c>
      <c r="D68" s="281" t="n">
        <f aca="false">SUM(D59:D67)</f>
        <v>73805.9166666667</v>
      </c>
      <c r="E68" s="281" t="n">
        <f aca="false">SUM(E59:E67)</f>
        <v>73805.9166666667</v>
      </c>
      <c r="F68" s="281" t="n">
        <f aca="false">SUM(F59:F67)</f>
        <v>73805.9166666667</v>
      </c>
      <c r="G68" s="281" t="n">
        <f aca="false">SUM(G59:G67)</f>
        <v>73805.9166666667</v>
      </c>
      <c r="H68" s="281" t="n">
        <f aca="false">SUM(H59:H67)</f>
        <v>73805.9166666667</v>
      </c>
      <c r="I68" s="281" t="n">
        <f aca="false">SUM(I59:I67)</f>
        <v>79222.5833333333</v>
      </c>
      <c r="J68" s="281" t="n">
        <f aca="false">SUM(J59:J67)</f>
        <v>79222.5833333333</v>
      </c>
      <c r="K68" s="281" t="n">
        <f aca="false">SUM(K59:K67)</f>
        <v>81599.2608333333</v>
      </c>
      <c r="L68" s="281" t="n">
        <f aca="false">SUM(L59:L67)</f>
        <v>81599.2608333333</v>
      </c>
      <c r="M68" s="281" t="n">
        <f aca="false">SUM(M59:M67)</f>
        <v>81599.2608333333</v>
      </c>
      <c r="N68" s="281" t="n">
        <f aca="false">SUM(B68:M68)</f>
        <v>919884.365833333</v>
      </c>
    </row>
    <row r="69" customFormat="false" ht="15" hidden="false" customHeight="true" outlineLevel="0" collapsed="false">
      <c r="A69" s="235" t="s">
        <v>2667</v>
      </c>
      <c r="B69" s="262" t="n">
        <f aca="false">B68*$B$22</f>
        <v>5018.80233333333</v>
      </c>
      <c r="C69" s="262" t="n">
        <f aca="false">C68*$B$22</f>
        <v>5018.80233333333</v>
      </c>
      <c r="D69" s="262" t="n">
        <f aca="false">D68*$B$22</f>
        <v>5018.80233333333</v>
      </c>
      <c r="E69" s="262" t="n">
        <f aca="false">E68*$B$22</f>
        <v>5018.80233333333</v>
      </c>
      <c r="F69" s="262" t="n">
        <f aca="false">F68*$B$22</f>
        <v>5018.80233333333</v>
      </c>
      <c r="G69" s="262" t="n">
        <f aca="false">G68*$B$22</f>
        <v>5018.80233333333</v>
      </c>
      <c r="H69" s="262" t="n">
        <f aca="false">H68*$B$22</f>
        <v>5018.80233333333</v>
      </c>
      <c r="I69" s="262" t="n">
        <f aca="false">I68*$B$22</f>
        <v>5387.13566666667</v>
      </c>
      <c r="J69" s="262" t="n">
        <f aca="false">J68*$B$22</f>
        <v>5387.13566666667</v>
      </c>
      <c r="K69" s="262" t="n">
        <f aca="false">K68*$B$22</f>
        <v>5548.74973666667</v>
      </c>
      <c r="L69" s="262" t="n">
        <f aca="false">L68*$B$22</f>
        <v>5548.74973666667</v>
      </c>
      <c r="M69" s="262" t="n">
        <f aca="false">M68*$B$22</f>
        <v>5548.74973666667</v>
      </c>
      <c r="N69" s="262" t="n">
        <f aca="false">SUM(B69:M69)</f>
        <v>62552.1368766667</v>
      </c>
    </row>
    <row r="70" customFormat="false" ht="15" hidden="false" customHeight="true" outlineLevel="0" collapsed="false">
      <c r="A70" s="235" t="s">
        <v>2289</v>
      </c>
      <c r="B70" s="262" t="n">
        <f aca="false">B68*$B$23</f>
        <v>12104.1703333333</v>
      </c>
      <c r="C70" s="262" t="n">
        <f aca="false">C68*$B$23</f>
        <v>12104.1703333333</v>
      </c>
      <c r="D70" s="262" t="n">
        <f aca="false">D68*$B$23</f>
        <v>12104.1703333333</v>
      </c>
      <c r="E70" s="262" t="n">
        <f aca="false">E68*$B$23</f>
        <v>12104.1703333333</v>
      </c>
      <c r="F70" s="262" t="n">
        <f aca="false">F68*$B$23</f>
        <v>12104.1703333333</v>
      </c>
      <c r="G70" s="262" t="n">
        <f aca="false">G68*$B$23</f>
        <v>12104.1703333333</v>
      </c>
      <c r="H70" s="262" t="n">
        <f aca="false">H68*$B$23</f>
        <v>12104.1703333333</v>
      </c>
      <c r="I70" s="262" t="n">
        <f aca="false">I68*$B$23</f>
        <v>12992.5036666667</v>
      </c>
      <c r="J70" s="262" t="n">
        <f aca="false">J68*$B$23</f>
        <v>12992.5036666667</v>
      </c>
      <c r="K70" s="262" t="n">
        <f aca="false">K68*$B$23</f>
        <v>13382.2787766667</v>
      </c>
      <c r="L70" s="262" t="n">
        <f aca="false">L68*$B$23</f>
        <v>13382.2787766667</v>
      </c>
      <c r="M70" s="262" t="n">
        <f aca="false">M68*$B$23</f>
        <v>13382.2787766667</v>
      </c>
      <c r="N70" s="262" t="n">
        <f aca="false">SUM(B70:M70)</f>
        <v>150861.035996667</v>
      </c>
    </row>
    <row r="71" customFormat="false" ht="15" hidden="false" customHeight="true" outlineLevel="0" collapsed="false">
      <c r="A71" s="280" t="s">
        <v>3000</v>
      </c>
      <c r="B71" s="281" t="n">
        <f aca="false">SUM(B68:B70)</f>
        <v>90928.8893333334</v>
      </c>
      <c r="C71" s="281" t="n">
        <f aca="false">SUM(C68:C70)</f>
        <v>90928.8893333334</v>
      </c>
      <c r="D71" s="281" t="n">
        <f aca="false">SUM(D68:D70)</f>
        <v>90928.8893333334</v>
      </c>
      <c r="E71" s="281" t="n">
        <f aca="false">SUM(E68:E70)</f>
        <v>90928.8893333334</v>
      </c>
      <c r="F71" s="281" t="n">
        <f aca="false">SUM(F68:F70)</f>
        <v>90928.8893333334</v>
      </c>
      <c r="G71" s="281" t="n">
        <f aca="false">SUM(G68:G70)</f>
        <v>90928.8893333334</v>
      </c>
      <c r="H71" s="281" t="n">
        <f aca="false">SUM(H68:H70)</f>
        <v>90928.8893333334</v>
      </c>
      <c r="I71" s="281" t="n">
        <f aca="false">SUM(I68:I70)</f>
        <v>97602.2226666667</v>
      </c>
      <c r="J71" s="281" t="n">
        <f aca="false">SUM(J68:J70)</f>
        <v>97602.2226666667</v>
      </c>
      <c r="K71" s="281" t="n">
        <f aca="false">SUM(K68:K70)</f>
        <v>100530.289346667</v>
      </c>
      <c r="L71" s="281" t="n">
        <f aca="false">SUM(L68:L70)</f>
        <v>100530.289346667</v>
      </c>
      <c r="M71" s="281" t="n">
        <f aca="false">SUM(M68:M70)</f>
        <v>100530.289346667</v>
      </c>
      <c r="N71" s="281" t="n">
        <f aca="false">SUM(B71:M71)</f>
        <v>1133297.53870667</v>
      </c>
    </row>
    <row r="72" customFormat="false" ht="15" hidden="false" customHeight="true" outlineLevel="0" collapsed="false">
      <c r="A72" s="235"/>
      <c r="B72" s="235"/>
      <c r="C72" s="235"/>
      <c r="D72" s="235"/>
      <c r="E72" s="235"/>
      <c r="F72" s="235"/>
      <c r="G72" s="235"/>
      <c r="H72" s="235"/>
      <c r="I72" s="235"/>
      <c r="J72" s="235"/>
      <c r="K72" s="235"/>
      <c r="L72" s="235"/>
      <c r="M72" s="235"/>
      <c r="N72" s="235"/>
    </row>
    <row r="73" customFormat="false" ht="15" hidden="false" customHeight="true" outlineLevel="0" collapsed="false">
      <c r="A73" s="269" t="s">
        <v>3001</v>
      </c>
      <c r="B73" s="275" t="n">
        <f aca="false">DATE(2027,1,1)</f>
        <v>46388</v>
      </c>
      <c r="C73" s="275" t="n">
        <f aca="false">DATE(2027,2,1)</f>
        <v>46419</v>
      </c>
      <c r="D73" s="275" t="n">
        <f aca="false">DATE(2027,3,1)</f>
        <v>46447</v>
      </c>
      <c r="E73" s="275" t="n">
        <f aca="false">DATE(2027,4,1)</f>
        <v>46478</v>
      </c>
      <c r="F73" s="275" t="n">
        <f aca="false">DATE(2027,5,1)</f>
        <v>46508</v>
      </c>
      <c r="G73" s="275" t="n">
        <f aca="false">DATE(2027,6,1)</f>
        <v>46539</v>
      </c>
      <c r="H73" s="275" t="n">
        <f aca="false">DATE(2027,7,1)</f>
        <v>46569</v>
      </c>
      <c r="I73" s="275" t="n">
        <f aca="false">DATE(2027,8,1)</f>
        <v>46600</v>
      </c>
      <c r="J73" s="275" t="n">
        <f aca="false">DATE(2027,9,1)</f>
        <v>46631</v>
      </c>
      <c r="K73" s="275" t="n">
        <f aca="false">DATE(2027,10,1)</f>
        <v>46661</v>
      </c>
      <c r="L73" s="275" t="n">
        <f aca="false">DATE(2027,11,1)</f>
        <v>46692</v>
      </c>
      <c r="M73" s="275" t="n">
        <f aca="false">DATE(2027,12,1)</f>
        <v>46722</v>
      </c>
      <c r="N73" s="275" t="s">
        <v>2325</v>
      </c>
    </row>
    <row r="74" customFormat="false" ht="15" hidden="false" customHeight="true" outlineLevel="0" collapsed="false">
      <c r="A74" s="235" t="s">
        <v>2965</v>
      </c>
      <c r="B74" s="262" t="n">
        <f aca="false">B55*$B$42*$B$6*(1-$B$43)</f>
        <v>16558.9107880838</v>
      </c>
      <c r="C74" s="262" t="n">
        <f aca="false">C55*$B$42*$B$6*(1-$B$43)</f>
        <v>11039.2738587226</v>
      </c>
      <c r="D74" s="262" t="n">
        <f aca="false">D55*$B$42*$B$6*(1-$B$43)</f>
        <v>0</v>
      </c>
      <c r="E74" s="262" t="n">
        <f aca="false">E55*$B$42*$B$6*(1-$B$43)</f>
        <v>26052.6863065852</v>
      </c>
      <c r="F74" s="262" t="n">
        <f aca="false">F55*$B$42*$B$6*(1-$B$43)</f>
        <v>20533.0493772239</v>
      </c>
      <c r="G74" s="262" t="n">
        <f aca="false">G55*$B$42*$B$6*(1-$B$43)</f>
        <v>30026.8248957253</v>
      </c>
      <c r="H74" s="262" t="n">
        <f aca="false">H55*$B$42*$B$6*(1-$B$43)</f>
        <v>26052.6863065852</v>
      </c>
      <c r="I74" s="262" t="n">
        <f aca="false">I55*$B$42*$B$6*(1-$B$43)</f>
        <v>31572.3232359465</v>
      </c>
      <c r="J74" s="262" t="n">
        <f aca="false">J55*$B$42*$B$6*(1-$B$43)</f>
        <v>41066.0987544479</v>
      </c>
      <c r="K74" s="262" t="n">
        <f aca="false">K55*$B$42*$B$6*(1-$B$43)</f>
        <v>41066.0987544479</v>
      </c>
      <c r="L74" s="262" t="n">
        <f aca="false">L55*$B$42*$B$6*(1-$B$43)</f>
        <v>50559.8742729493</v>
      </c>
      <c r="M74" s="262" t="n">
        <f aca="false">M55*$B$42*$B$6*(1-$B$43)</f>
        <v>52105.3726131704</v>
      </c>
      <c r="N74" s="262" t="n">
        <f aca="false">SUM(B74:M74)</f>
        <v>346633.199163888</v>
      </c>
    </row>
    <row r="75" customFormat="false" ht="15" hidden="false" customHeight="true" outlineLevel="0" collapsed="false">
      <c r="A75" s="235" t="s">
        <v>2966</v>
      </c>
      <c r="B75" s="262" t="n">
        <f aca="false">B55*$B$42*$B$6*$B$43</f>
        <v>2014.99397382093</v>
      </c>
      <c r="C75" s="262" t="n">
        <f aca="false">C55*$B$42*$B$6*$B$43</f>
        <v>1343.32931588062</v>
      </c>
      <c r="D75" s="262" t="n">
        <f aca="false">D55*$B$42*$B$6*$B$43</f>
        <v>0</v>
      </c>
      <c r="E75" s="262" t="n">
        <f aca="false">E55*$B$42*$B$6*$B$43</f>
        <v>3170.25718547827</v>
      </c>
      <c r="F75" s="262" t="n">
        <f aca="false">F55*$B$42*$B$6*$B$43</f>
        <v>2498.59252753796</v>
      </c>
      <c r="G75" s="262" t="n">
        <f aca="false">G55*$B$42*$B$6*$B$43</f>
        <v>3653.85573919529</v>
      </c>
      <c r="H75" s="262" t="n">
        <f aca="false">H55*$B$42*$B$6*$B$43</f>
        <v>3170.25718547827</v>
      </c>
      <c r="I75" s="262" t="n">
        <f aca="false">I55*$B$42*$B$6*$B$43</f>
        <v>3841.92184341858</v>
      </c>
      <c r="J75" s="262" t="n">
        <f aca="false">J55*$B$42*$B$6*$B$43</f>
        <v>4997.18505507591</v>
      </c>
      <c r="K75" s="262" t="n">
        <f aca="false">K55*$B$42*$B$6*$B$43</f>
        <v>4997.18505507591</v>
      </c>
      <c r="L75" s="262" t="n">
        <f aca="false">L55*$B$42*$B$6*$B$43</f>
        <v>6152.44826673325</v>
      </c>
      <c r="M75" s="262" t="n">
        <f aca="false">M55*$B$42*$B$6*$B$43</f>
        <v>6340.51437095654</v>
      </c>
      <c r="N75" s="262" t="n">
        <f aca="false">SUM(B75:M75)</f>
        <v>42180.5405186515</v>
      </c>
    </row>
    <row r="76" customFormat="false" ht="15" hidden="false" customHeight="true" outlineLevel="0" collapsed="false">
      <c r="A76" s="235" t="s">
        <v>3002</v>
      </c>
      <c r="B76" s="262" t="n">
        <f aca="false">$B$46*(1-$B$45)</f>
        <v>3769.59375</v>
      </c>
      <c r="C76" s="262" t="n">
        <f aca="false">$B$46*(1-$B$45)</f>
        <v>3769.59375</v>
      </c>
      <c r="D76" s="262" t="n">
        <f aca="false">$B$46*(1-$B$45)</f>
        <v>3769.59375</v>
      </c>
      <c r="E76" s="262" t="n">
        <f aca="false">$B$46*(1-$B$45)</f>
        <v>3769.59375</v>
      </c>
      <c r="F76" s="262" t="n">
        <f aca="false">$B$46*(1-$B$45)</f>
        <v>3769.59375</v>
      </c>
      <c r="G76" s="262" t="n">
        <f aca="false">$B$46*(1-$B$45)</f>
        <v>3769.59375</v>
      </c>
      <c r="H76" s="262" t="n">
        <f aca="false">$B$46*(1-$B$45)</f>
        <v>3769.59375</v>
      </c>
      <c r="I76" s="262" t="n">
        <f aca="false">$B$46*(1-$B$45)</f>
        <v>3769.59375</v>
      </c>
      <c r="J76" s="262" t="n">
        <f aca="false">$B$46*(1-$B$45)</f>
        <v>3769.59375</v>
      </c>
      <c r="K76" s="262" t="n">
        <f aca="false">$B$46*(1-$B$45)</f>
        <v>3769.59375</v>
      </c>
      <c r="L76" s="262" t="n">
        <f aca="false">$B$46*(1-$B$45)</f>
        <v>3769.59375</v>
      </c>
      <c r="M76" s="262" t="n">
        <f aca="false">$B$46*(1-$B$45)</f>
        <v>3769.59375</v>
      </c>
      <c r="N76" s="262" t="n">
        <f aca="false">SUM(B76:M76)</f>
        <v>45235.125</v>
      </c>
    </row>
    <row r="77" customFormat="false" ht="15" hidden="false" customHeight="true" outlineLevel="0" collapsed="false">
      <c r="A77" s="235" t="s">
        <v>3003</v>
      </c>
      <c r="B77" s="262" t="n">
        <f aca="false">$B$46*$B$45</f>
        <v>604.6140625</v>
      </c>
      <c r="C77" s="262" t="n">
        <f aca="false">$B$46*$B$45</f>
        <v>604.6140625</v>
      </c>
      <c r="D77" s="262" t="n">
        <f aca="false">$B$46*$B$45</f>
        <v>604.6140625</v>
      </c>
      <c r="E77" s="262" t="n">
        <f aca="false">$B$46*$B$45</f>
        <v>604.6140625</v>
      </c>
      <c r="F77" s="262" t="n">
        <f aca="false">$B$46*$B$45</f>
        <v>604.6140625</v>
      </c>
      <c r="G77" s="262" t="n">
        <f aca="false">$B$46*$B$45</f>
        <v>604.6140625</v>
      </c>
      <c r="H77" s="262" t="n">
        <f aca="false">$B$46*$B$45</f>
        <v>604.6140625</v>
      </c>
      <c r="I77" s="262" t="n">
        <f aca="false">$B$46*$B$45</f>
        <v>604.6140625</v>
      </c>
      <c r="J77" s="262" t="n">
        <f aca="false">$B$46*$B$45</f>
        <v>604.6140625</v>
      </c>
      <c r="K77" s="262" t="n">
        <f aca="false">$B$46*$B$45</f>
        <v>604.6140625</v>
      </c>
      <c r="L77" s="262" t="n">
        <f aca="false">$B$46*$B$45</f>
        <v>604.6140625</v>
      </c>
      <c r="M77" s="262" t="n">
        <f aca="false">$B$46*$B$45</f>
        <v>604.6140625</v>
      </c>
      <c r="N77" s="262" t="n">
        <f aca="false">SUM(B77:M77)</f>
        <v>7255.36875</v>
      </c>
    </row>
    <row r="78" customFormat="false" ht="15" hidden="false" customHeight="true" outlineLevel="0" collapsed="false">
      <c r="A78" s="235" t="s">
        <v>3004</v>
      </c>
      <c r="B78" s="282" t="n">
        <f aca="false">B68</f>
        <v>73805.9166666667</v>
      </c>
      <c r="C78" s="282" t="n">
        <f aca="false">C68</f>
        <v>73805.9166666667</v>
      </c>
      <c r="D78" s="282" t="n">
        <f aca="false">D68</f>
        <v>73805.9166666667</v>
      </c>
      <c r="E78" s="282" t="n">
        <f aca="false">E68</f>
        <v>73805.9166666667</v>
      </c>
      <c r="F78" s="282" t="n">
        <f aca="false">F68</f>
        <v>73805.9166666667</v>
      </c>
      <c r="G78" s="282" t="n">
        <f aca="false">G68</f>
        <v>73805.9166666667</v>
      </c>
      <c r="H78" s="282" t="n">
        <f aca="false">H68</f>
        <v>73805.9166666667</v>
      </c>
      <c r="I78" s="282" t="n">
        <f aca="false">I68</f>
        <v>79222.5833333333</v>
      </c>
      <c r="J78" s="282" t="n">
        <f aca="false">J68</f>
        <v>79222.5833333333</v>
      </c>
      <c r="K78" s="282" t="n">
        <f aca="false">K68</f>
        <v>81599.2608333333</v>
      </c>
      <c r="L78" s="282" t="n">
        <f aca="false">L68</f>
        <v>81599.2608333333</v>
      </c>
      <c r="M78" s="282" t="n">
        <f aca="false">M68</f>
        <v>81599.2608333333</v>
      </c>
      <c r="N78" s="262" t="n">
        <f aca="false">SUM(B78:M78)</f>
        <v>919884.365833333</v>
      </c>
    </row>
    <row r="79" customFormat="false" ht="15" hidden="false" customHeight="true" outlineLevel="0" collapsed="false">
      <c r="A79" s="235" t="s">
        <v>3005</v>
      </c>
      <c r="B79" s="282" t="n">
        <f aca="false">B69</f>
        <v>5018.80233333333</v>
      </c>
      <c r="C79" s="282" t="n">
        <f aca="false">C69</f>
        <v>5018.80233333333</v>
      </c>
      <c r="D79" s="282" t="n">
        <f aca="false">D69</f>
        <v>5018.80233333333</v>
      </c>
      <c r="E79" s="282" t="n">
        <f aca="false">E69</f>
        <v>5018.80233333333</v>
      </c>
      <c r="F79" s="282" t="n">
        <f aca="false">F69</f>
        <v>5018.80233333333</v>
      </c>
      <c r="G79" s="282" t="n">
        <f aca="false">G69</f>
        <v>5018.80233333333</v>
      </c>
      <c r="H79" s="282" t="n">
        <f aca="false">H69</f>
        <v>5018.80233333333</v>
      </c>
      <c r="I79" s="282" t="n">
        <f aca="false">I69</f>
        <v>5387.13566666667</v>
      </c>
      <c r="J79" s="282" t="n">
        <f aca="false">J69</f>
        <v>5387.13566666667</v>
      </c>
      <c r="K79" s="282" t="n">
        <f aca="false">K69</f>
        <v>5548.74973666667</v>
      </c>
      <c r="L79" s="282" t="n">
        <f aca="false">L69</f>
        <v>5548.74973666667</v>
      </c>
      <c r="M79" s="282" t="n">
        <f aca="false">M69</f>
        <v>5548.74973666667</v>
      </c>
      <c r="N79" s="262" t="n">
        <f aca="false">SUM(B79:M79)</f>
        <v>62552.1368766667</v>
      </c>
    </row>
    <row r="80" customFormat="false" ht="15" hidden="false" customHeight="true" outlineLevel="0" collapsed="false">
      <c r="A80" s="235" t="s">
        <v>3006</v>
      </c>
      <c r="B80" s="282" t="n">
        <f aca="false">B70</f>
        <v>12104.1703333333</v>
      </c>
      <c r="C80" s="282" t="n">
        <f aca="false">C70</f>
        <v>12104.1703333333</v>
      </c>
      <c r="D80" s="282" t="n">
        <f aca="false">D70</f>
        <v>12104.1703333333</v>
      </c>
      <c r="E80" s="282" t="n">
        <f aca="false">E70</f>
        <v>12104.1703333333</v>
      </c>
      <c r="F80" s="282" t="n">
        <f aca="false">F70</f>
        <v>12104.1703333333</v>
      </c>
      <c r="G80" s="282" t="n">
        <f aca="false">G70</f>
        <v>12104.1703333333</v>
      </c>
      <c r="H80" s="282" t="n">
        <f aca="false">H70</f>
        <v>12104.1703333333</v>
      </c>
      <c r="I80" s="282" t="n">
        <f aca="false">I70</f>
        <v>12992.5036666667</v>
      </c>
      <c r="J80" s="282" t="n">
        <f aca="false">J70</f>
        <v>12992.5036666667</v>
      </c>
      <c r="K80" s="282" t="n">
        <f aca="false">K70</f>
        <v>13382.2787766667</v>
      </c>
      <c r="L80" s="282" t="n">
        <f aca="false">L70</f>
        <v>13382.2787766667</v>
      </c>
      <c r="M80" s="282" t="n">
        <f aca="false">M70</f>
        <v>13382.2787766667</v>
      </c>
      <c r="N80" s="262" t="n">
        <f aca="false">SUM(B80:M80)</f>
        <v>150861.035996667</v>
      </c>
    </row>
    <row r="81" customFormat="false" ht="15" hidden="false" customHeight="true" outlineLevel="0" collapsed="false">
      <c r="A81" s="280" t="s">
        <v>3007</v>
      </c>
      <c r="B81" s="281" t="n">
        <f aca="false">SUM(B74:B80)</f>
        <v>113877.001907738</v>
      </c>
      <c r="C81" s="281" t="n">
        <f aca="false">SUM(C74:C80)</f>
        <v>107685.700320437</v>
      </c>
      <c r="D81" s="281" t="n">
        <f aca="false">SUM(D74:D80)</f>
        <v>95303.0971458333</v>
      </c>
      <c r="E81" s="281" t="n">
        <f aca="false">SUM(E74:E80)</f>
        <v>124526.040637897</v>
      </c>
      <c r="F81" s="281" t="n">
        <f aca="false">SUM(F74:F80)</f>
        <v>118334.739050595</v>
      </c>
      <c r="G81" s="281" t="n">
        <f aca="false">SUM(G74:G80)</f>
        <v>128983.777780754</v>
      </c>
      <c r="H81" s="281" t="n">
        <f aca="false">SUM(H74:H80)</f>
        <v>124526.040637897</v>
      </c>
      <c r="I81" s="281" t="n">
        <f aca="false">SUM(I74:I80)</f>
        <v>137390.675558532</v>
      </c>
      <c r="J81" s="281" t="n">
        <f aca="false">SUM(J74:J80)</f>
        <v>148039.71428869</v>
      </c>
      <c r="K81" s="281" t="n">
        <f aca="false">SUM(K74:K80)</f>
        <v>150967.78096869</v>
      </c>
      <c r="L81" s="281" t="n">
        <f aca="false">SUM(L74:L80)</f>
        <v>161616.819698849</v>
      </c>
      <c r="M81" s="281" t="n">
        <f aca="false">SUM(M74:M80)</f>
        <v>163350.384143294</v>
      </c>
      <c r="N81" s="281" t="n">
        <f aca="false">SUM(B81:M81)</f>
        <v>1574601.77213921</v>
      </c>
    </row>
    <row r="82" customFormat="false" ht="15" hidden="false" customHeight="true" outlineLevel="0" collapsed="false">
      <c r="A82" s="235" t="s">
        <v>3008</v>
      </c>
      <c r="B82" s="262" t="n">
        <f aca="false">SUM(B74:B77)</f>
        <v>22948.1125744048</v>
      </c>
      <c r="C82" s="262" t="n">
        <f aca="false">SUM(C74:C77)</f>
        <v>16756.8109871032</v>
      </c>
      <c r="D82" s="262" t="n">
        <f aca="false">SUM(D74:D77)</f>
        <v>4374.2078125</v>
      </c>
      <c r="E82" s="262" t="n">
        <f aca="false">SUM(E74:E77)</f>
        <v>33597.1513045635</v>
      </c>
      <c r="F82" s="262" t="n">
        <f aca="false">SUM(F74:F77)</f>
        <v>27405.8497172619</v>
      </c>
      <c r="G82" s="262" t="n">
        <f aca="false">SUM(G74:G77)</f>
        <v>38054.8884474206</v>
      </c>
      <c r="H82" s="262" t="n">
        <f aca="false">SUM(H74:H77)</f>
        <v>33597.1513045635</v>
      </c>
      <c r="I82" s="262" t="n">
        <f aca="false">SUM(I74:I77)</f>
        <v>39788.4528918651</v>
      </c>
      <c r="J82" s="262" t="n">
        <f aca="false">SUM(J74:J77)</f>
        <v>50437.4916220238</v>
      </c>
      <c r="K82" s="262" t="n">
        <f aca="false">SUM(K74:K77)</f>
        <v>50437.4916220238</v>
      </c>
      <c r="L82" s="262" t="n">
        <f aca="false">SUM(L74:L77)</f>
        <v>61086.5303521825</v>
      </c>
      <c r="M82" s="262" t="n">
        <f aca="false">SUM(M74:M77)</f>
        <v>62820.094796627</v>
      </c>
      <c r="N82" s="262" t="n">
        <f aca="false">SUM(B82:M82)</f>
        <v>441304.23343254</v>
      </c>
    </row>
    <row r="83" customFormat="false" ht="15" hidden="false" customHeight="true" outlineLevel="0" collapsed="false">
      <c r="A83" s="235"/>
      <c r="B83" s="235"/>
      <c r="C83" s="235"/>
      <c r="D83" s="235"/>
      <c r="E83" s="235"/>
      <c r="F83" s="235"/>
      <c r="G83" s="235"/>
      <c r="H83" s="235"/>
      <c r="I83" s="235"/>
      <c r="J83" s="235"/>
      <c r="K83" s="235"/>
      <c r="L83" s="235"/>
      <c r="M83" s="235"/>
      <c r="N83" s="235"/>
    </row>
    <row r="84" customFormat="false" ht="33.75" hidden="false" customHeight="true" outlineLevel="0" collapsed="false">
      <c r="A84" s="283" t="s">
        <v>3009</v>
      </c>
      <c r="B84" s="284" t="s">
        <v>3010</v>
      </c>
      <c r="C84" s="284" t="s">
        <v>99</v>
      </c>
      <c r="D84" s="284" t="s">
        <v>3011</v>
      </c>
      <c r="E84" s="284" t="s">
        <v>3012</v>
      </c>
      <c r="F84" s="284" t="s">
        <v>3013</v>
      </c>
      <c r="G84" s="284" t="s">
        <v>3014</v>
      </c>
      <c r="H84" s="235"/>
      <c r="I84" s="235"/>
      <c r="J84" s="235"/>
      <c r="K84" s="235"/>
      <c r="L84" s="235"/>
      <c r="M84" s="235"/>
      <c r="N84" s="235"/>
    </row>
    <row r="85" customFormat="false" ht="15" hidden="false" customHeight="true" outlineLevel="0" collapsed="false">
      <c r="A85" s="235" t="s">
        <v>2184</v>
      </c>
      <c r="B85" s="285" t="n">
        <v>30</v>
      </c>
      <c r="C85" s="286" t="s">
        <v>3015</v>
      </c>
      <c r="D85" s="262" t="n">
        <f aca="false">N74</f>
        <v>346633.199163888</v>
      </c>
      <c r="E85" s="276" t="n">
        <f aca="false">FE!N30</f>
        <v>87455.02</v>
      </c>
      <c r="F85" s="262" t="n">
        <f aca="false">D85-E85</f>
        <v>259178.179163888</v>
      </c>
      <c r="G85" s="276" t="n">
        <f aca="false">FE!AG30</f>
        <v>346633.199163888</v>
      </c>
      <c r="H85" s="235"/>
      <c r="I85" s="235"/>
      <c r="J85" s="235"/>
      <c r="K85" s="235"/>
      <c r="L85" s="235"/>
      <c r="M85" s="235"/>
      <c r="N85" s="235"/>
    </row>
    <row r="86" customFormat="false" ht="15" hidden="false" customHeight="true" outlineLevel="0" collapsed="false">
      <c r="A86" s="235" t="s">
        <v>2185</v>
      </c>
      <c r="B86" s="285" t="n">
        <v>31</v>
      </c>
      <c r="C86" s="286" t="s">
        <v>3015</v>
      </c>
      <c r="D86" s="262" t="n">
        <f aca="false">N75</f>
        <v>42180.5405186515</v>
      </c>
      <c r="E86" s="276" t="n">
        <f aca="false">FE!N31</f>
        <v>10313.18</v>
      </c>
      <c r="F86" s="262" t="n">
        <f aca="false">D86-E86</f>
        <v>31867.3605186515</v>
      </c>
      <c r="G86" s="276" t="n">
        <f aca="false">FE!AG31</f>
        <v>42180.5405186515</v>
      </c>
      <c r="H86" s="235"/>
      <c r="I86" s="235"/>
      <c r="J86" s="235"/>
      <c r="K86" s="235"/>
      <c r="L86" s="235"/>
      <c r="M86" s="235"/>
      <c r="N86" s="235"/>
    </row>
    <row r="87" customFormat="false" ht="15" hidden="false" customHeight="true" outlineLevel="0" collapsed="false">
      <c r="A87" s="235" t="s">
        <v>2227</v>
      </c>
      <c r="B87" s="285" t="n">
        <v>74</v>
      </c>
      <c r="C87" s="286" t="s">
        <v>3015</v>
      </c>
      <c r="D87" s="262" t="n">
        <f aca="false">N76</f>
        <v>45235.125</v>
      </c>
      <c r="E87" s="276" t="n">
        <f aca="false">FE!N74</f>
        <v>35010.08</v>
      </c>
      <c r="F87" s="262" t="n">
        <f aca="false">D87-E87</f>
        <v>10225.045</v>
      </c>
      <c r="G87" s="276" t="n">
        <f aca="false">FE!AG74</f>
        <v>45235.125</v>
      </c>
      <c r="H87" s="235"/>
      <c r="I87" s="235"/>
      <c r="J87" s="235"/>
      <c r="K87" s="235"/>
      <c r="L87" s="235"/>
      <c r="M87" s="235"/>
      <c r="N87" s="235"/>
    </row>
    <row r="88" customFormat="false" ht="15" hidden="false" customHeight="true" outlineLevel="0" collapsed="false">
      <c r="A88" s="235" t="s">
        <v>2228</v>
      </c>
      <c r="B88" s="285" t="n">
        <v>75</v>
      </c>
      <c r="C88" s="286" t="s">
        <v>3015</v>
      </c>
      <c r="D88" s="262" t="n">
        <f aca="false">N77</f>
        <v>7255.36875</v>
      </c>
      <c r="E88" s="276" t="n">
        <f aca="false">FE!N75</f>
        <v>5308.9</v>
      </c>
      <c r="F88" s="262" t="n">
        <f aca="false">D88-E88</f>
        <v>1946.46875</v>
      </c>
      <c r="G88" s="276" t="n">
        <f aca="false">FE!AG75</f>
        <v>7255.36875</v>
      </c>
      <c r="H88" s="235"/>
      <c r="I88" s="235"/>
      <c r="J88" s="235"/>
      <c r="K88" s="235"/>
      <c r="L88" s="235"/>
      <c r="M88" s="235"/>
      <c r="N88" s="235"/>
    </row>
    <row r="89" customFormat="false" ht="15" hidden="false" customHeight="true" outlineLevel="0" collapsed="false">
      <c r="A89" s="235" t="s">
        <v>2220</v>
      </c>
      <c r="B89" s="285" t="n">
        <v>67</v>
      </c>
      <c r="C89" s="286" t="s">
        <v>3015</v>
      </c>
      <c r="D89" s="262" t="n">
        <f aca="false">N78</f>
        <v>919884.365833333</v>
      </c>
      <c r="E89" s="276" t="n">
        <f aca="false">FE!N67</f>
        <v>850614.65</v>
      </c>
      <c r="F89" s="262" t="n">
        <f aca="false">D89-E89</f>
        <v>69269.7158333333</v>
      </c>
      <c r="G89" s="276" t="n">
        <f aca="false">FE!AG67</f>
        <v>919884.365833333</v>
      </c>
      <c r="H89" s="235"/>
      <c r="I89" s="235"/>
      <c r="J89" s="235"/>
      <c r="K89" s="235"/>
      <c r="L89" s="235"/>
      <c r="M89" s="235"/>
      <c r="N89" s="235"/>
    </row>
    <row r="90" customFormat="false" ht="15" hidden="false" customHeight="true" outlineLevel="0" collapsed="false">
      <c r="A90" s="235" t="s">
        <v>2221</v>
      </c>
      <c r="B90" s="285" t="n">
        <v>68</v>
      </c>
      <c r="C90" s="286" t="s">
        <v>3015</v>
      </c>
      <c r="D90" s="262" t="n">
        <f aca="false">N79</f>
        <v>62552.1368766667</v>
      </c>
      <c r="E90" s="276" t="n">
        <f aca="false">FE!N68</f>
        <v>40439.44</v>
      </c>
      <c r="F90" s="262" t="n">
        <f aca="false">D90-E90</f>
        <v>22112.6968766667</v>
      </c>
      <c r="G90" s="276" t="n">
        <f aca="false">FE!AG68</f>
        <v>62552.1368766667</v>
      </c>
      <c r="H90" s="235"/>
      <c r="I90" s="235"/>
      <c r="J90" s="235"/>
      <c r="K90" s="235"/>
      <c r="L90" s="235"/>
      <c r="M90" s="235"/>
      <c r="N90" s="235"/>
    </row>
    <row r="91" customFormat="false" ht="15" hidden="false" customHeight="true" outlineLevel="0" collapsed="false">
      <c r="A91" s="235" t="s">
        <v>2222</v>
      </c>
      <c r="B91" s="285" t="n">
        <v>69</v>
      </c>
      <c r="C91" s="286" t="s">
        <v>3015</v>
      </c>
      <c r="D91" s="262" t="n">
        <f aca="false">N80</f>
        <v>150861.035996667</v>
      </c>
      <c r="E91" s="276" t="n">
        <f aca="false">FE!N69</f>
        <v>80480.42</v>
      </c>
      <c r="F91" s="262" t="n">
        <f aca="false">D91-E91</f>
        <v>70380.6159966667</v>
      </c>
      <c r="G91" s="276" t="n">
        <f aca="false">FE!AG69</f>
        <v>150861.035996667</v>
      </c>
      <c r="H91" s="235"/>
      <c r="I91" s="235"/>
      <c r="J91" s="235"/>
      <c r="K91" s="235"/>
      <c r="L91" s="235"/>
      <c r="M91" s="235"/>
      <c r="N91" s="235"/>
    </row>
    <row r="92" customFormat="false" ht="15" hidden="false" customHeight="true" outlineLevel="0" collapsed="false">
      <c r="A92" s="280" t="s">
        <v>2909</v>
      </c>
      <c r="B92" s="280"/>
      <c r="C92" s="280"/>
      <c r="D92" s="281" t="n">
        <f aca="false">SUM(D85:D91)</f>
        <v>1574601.77213921</v>
      </c>
      <c r="E92" s="281" t="n">
        <f aca="false">SUM(E85:E91)</f>
        <v>1109621.69</v>
      </c>
      <c r="F92" s="281" t="n">
        <f aca="false">D92-E92</f>
        <v>464980.082139206</v>
      </c>
      <c r="G92" s="281" t="n">
        <f aca="false">SUM(G85:G91)</f>
        <v>1574601.77213921</v>
      </c>
      <c r="H92" s="235"/>
      <c r="I92" s="235"/>
      <c r="J92" s="235"/>
      <c r="K92" s="235"/>
      <c r="L92" s="235"/>
      <c r="M92" s="235"/>
      <c r="N92" s="235"/>
    </row>
    <row r="93" customFormat="false" ht="15" hidden="false" customHeight="true" outlineLevel="0" collapsed="false">
      <c r="A93" s="235"/>
      <c r="B93" s="267" t="s">
        <v>3016</v>
      </c>
      <c r="C93" s="235"/>
      <c r="D93" s="235"/>
      <c r="E93" s="235"/>
      <c r="F93" s="235"/>
      <c r="G93" s="235"/>
      <c r="H93" s="235"/>
      <c r="I93" s="235"/>
      <c r="J93" s="235"/>
      <c r="K93" s="235"/>
      <c r="L93" s="235"/>
      <c r="M93" s="235"/>
      <c r="N93" s="235"/>
    </row>
    <row r="94" customFormat="false" ht="15" hidden="false" customHeight="true" outlineLevel="0" collapsed="false">
      <c r="A94" s="235"/>
      <c r="B94" s="235"/>
      <c r="C94" s="235"/>
      <c r="D94" s="235"/>
      <c r="E94" s="235"/>
      <c r="F94" s="235"/>
      <c r="G94" s="235"/>
      <c r="H94" s="235"/>
      <c r="I94" s="235"/>
      <c r="J94" s="235"/>
      <c r="K94" s="235"/>
      <c r="L94" s="235"/>
      <c r="M94" s="235"/>
      <c r="N94" s="235"/>
    </row>
    <row r="95" customFormat="false" ht="15" hidden="false" customHeight="true" outlineLevel="0" collapsed="false">
      <c r="A95" s="269" t="s">
        <v>3017</v>
      </c>
      <c r="B95" s="269"/>
      <c r="C95" s="269"/>
      <c r="D95" s="269"/>
      <c r="E95" s="269"/>
      <c r="F95" s="269"/>
      <c r="G95" s="269"/>
      <c r="H95" s="269"/>
      <c r="I95" s="269"/>
      <c r="J95" s="269"/>
      <c r="K95" s="269"/>
      <c r="L95" s="269"/>
      <c r="M95" s="269"/>
      <c r="N95" s="269"/>
    </row>
    <row r="96" customFormat="false" ht="25.5" hidden="false" customHeight="true" outlineLevel="0" collapsed="false">
      <c r="A96" s="287"/>
      <c r="B96" s="128" t="s">
        <v>3018</v>
      </c>
      <c r="C96" s="128"/>
      <c r="D96" s="128"/>
      <c r="E96" s="128"/>
      <c r="F96" s="128"/>
      <c r="G96" s="128"/>
      <c r="H96" s="128"/>
      <c r="I96" s="128"/>
      <c r="J96" s="128"/>
      <c r="K96" s="128"/>
      <c r="L96" s="128"/>
      <c r="M96" s="128"/>
      <c r="N96" s="128"/>
    </row>
    <row r="97" customFormat="false" ht="25.5" hidden="false" customHeight="true" outlineLevel="0" collapsed="false">
      <c r="A97" s="287"/>
      <c r="B97" s="128" t="s">
        <v>3019</v>
      </c>
      <c r="C97" s="128"/>
      <c r="D97" s="128"/>
      <c r="E97" s="128"/>
      <c r="F97" s="128"/>
      <c r="G97" s="128"/>
      <c r="H97" s="128"/>
      <c r="I97" s="128"/>
      <c r="J97" s="128"/>
      <c r="K97" s="128"/>
      <c r="L97" s="128"/>
      <c r="M97" s="128"/>
      <c r="N97" s="128"/>
    </row>
    <row r="98" customFormat="false" ht="25.5" hidden="false" customHeight="true" outlineLevel="0" collapsed="false">
      <c r="A98" s="287"/>
      <c r="B98" s="128" t="s">
        <v>3020</v>
      </c>
      <c r="C98" s="128"/>
      <c r="D98" s="128"/>
      <c r="E98" s="128"/>
      <c r="F98" s="128"/>
      <c r="G98" s="128"/>
      <c r="H98" s="128"/>
      <c r="I98" s="128"/>
      <c r="J98" s="128"/>
      <c r="K98" s="128"/>
      <c r="L98" s="128"/>
      <c r="M98" s="128"/>
      <c r="N98" s="128"/>
    </row>
    <row r="99" customFormat="false" ht="25.5" hidden="false" customHeight="true" outlineLevel="0" collapsed="false">
      <c r="A99" s="287"/>
      <c r="B99" s="128" t="s">
        <v>3021</v>
      </c>
      <c r="C99" s="128"/>
      <c r="D99" s="128"/>
      <c r="E99" s="128"/>
      <c r="F99" s="128"/>
      <c r="G99" s="128"/>
      <c r="H99" s="128"/>
      <c r="I99" s="128"/>
      <c r="J99" s="128"/>
      <c r="K99" s="128"/>
      <c r="L99" s="128"/>
      <c r="M99" s="128"/>
      <c r="N99" s="128"/>
    </row>
    <row r="100" customFormat="false" ht="25.5" hidden="false" customHeight="true" outlineLevel="0" collapsed="false">
      <c r="A100" s="287"/>
      <c r="B100" s="128" t="s">
        <v>3022</v>
      </c>
      <c r="C100" s="128"/>
      <c r="D100" s="128"/>
      <c r="E100" s="128"/>
      <c r="F100" s="128"/>
      <c r="G100" s="128"/>
      <c r="H100" s="128"/>
      <c r="I100" s="128"/>
      <c r="J100" s="128"/>
      <c r="K100" s="128"/>
      <c r="L100" s="128"/>
      <c r="M100" s="128"/>
      <c r="N100" s="128"/>
    </row>
    <row r="101" customFormat="false" ht="25.5" hidden="false" customHeight="true" outlineLevel="0" collapsed="false">
      <c r="A101" s="287"/>
      <c r="B101" s="128" t="s">
        <v>3023</v>
      </c>
      <c r="C101" s="128"/>
      <c r="D101" s="128"/>
      <c r="E101" s="128"/>
      <c r="F101" s="128"/>
      <c r="G101" s="128"/>
      <c r="H101" s="128"/>
      <c r="I101" s="128"/>
      <c r="J101" s="128"/>
      <c r="K101" s="128"/>
      <c r="L101" s="128"/>
      <c r="M101" s="128"/>
      <c r="N101" s="128"/>
    </row>
    <row r="102" customFormat="false" ht="25.5" hidden="false" customHeight="true" outlineLevel="0" collapsed="false">
      <c r="A102" s="287"/>
      <c r="B102" s="128" t="s">
        <v>3024</v>
      </c>
      <c r="C102" s="128"/>
      <c r="D102" s="128"/>
      <c r="E102" s="128"/>
      <c r="F102" s="128"/>
      <c r="G102" s="128"/>
      <c r="H102" s="128"/>
      <c r="I102" s="128"/>
      <c r="J102" s="128"/>
      <c r="K102" s="128"/>
      <c r="L102" s="128"/>
      <c r="M102" s="128"/>
      <c r="N102" s="128"/>
    </row>
    <row r="103" customFormat="false" ht="25.5" hidden="false" customHeight="true" outlineLevel="0" collapsed="false">
      <c r="A103" s="287"/>
      <c r="B103" s="128" t="s">
        <v>3025</v>
      </c>
      <c r="C103" s="128"/>
      <c r="D103" s="128"/>
      <c r="E103" s="128"/>
      <c r="F103" s="128"/>
      <c r="G103" s="128"/>
      <c r="H103" s="128"/>
      <c r="I103" s="128"/>
      <c r="J103" s="128"/>
      <c r="K103" s="128"/>
      <c r="L103" s="128"/>
      <c r="M103" s="128"/>
      <c r="N103" s="128"/>
    </row>
    <row r="104" customFormat="false" ht="15" hidden="false" customHeight="true" outlineLevel="0" collapsed="false">
      <c r="A104" s="235"/>
      <c r="B104" s="235"/>
      <c r="C104" s="235"/>
      <c r="D104" s="235"/>
      <c r="E104" s="235"/>
      <c r="F104" s="235"/>
      <c r="G104" s="235"/>
      <c r="H104" s="235"/>
      <c r="I104" s="235"/>
      <c r="J104" s="235"/>
      <c r="K104" s="235"/>
      <c r="L104" s="235"/>
      <c r="M104" s="235"/>
      <c r="N104" s="235"/>
    </row>
    <row r="105" customFormat="false" ht="15" hidden="false" customHeight="true" outlineLevel="0" collapsed="false">
      <c r="A105" s="235"/>
      <c r="B105" s="235"/>
      <c r="C105" s="235"/>
      <c r="D105" s="235"/>
      <c r="E105" s="235"/>
      <c r="F105" s="235"/>
      <c r="G105" s="235"/>
      <c r="H105" s="235"/>
      <c r="I105" s="235"/>
      <c r="J105" s="235"/>
      <c r="K105" s="235"/>
      <c r="L105" s="235"/>
      <c r="M105" s="235"/>
      <c r="N105" s="235"/>
    </row>
    <row r="106" customFormat="false" ht="15" hidden="false" customHeight="true" outlineLevel="0" collapsed="false">
      <c r="A106" s="235"/>
      <c r="B106" s="235"/>
      <c r="C106" s="235"/>
      <c r="D106" s="235"/>
      <c r="E106" s="235"/>
      <c r="F106" s="235"/>
      <c r="G106" s="235"/>
      <c r="H106" s="235"/>
      <c r="I106" s="235"/>
      <c r="J106" s="235"/>
      <c r="K106" s="235"/>
      <c r="L106" s="235"/>
      <c r="M106" s="235"/>
      <c r="N106" s="235"/>
    </row>
    <row r="107" customFormat="false" ht="15" hidden="false" customHeight="true" outlineLevel="0" collapsed="false">
      <c r="A107" s="235"/>
      <c r="B107" s="235"/>
      <c r="C107" s="235"/>
      <c r="D107" s="235"/>
      <c r="E107" s="235"/>
      <c r="F107" s="235"/>
      <c r="G107" s="235"/>
      <c r="H107" s="235"/>
      <c r="I107" s="235"/>
      <c r="J107" s="235"/>
      <c r="K107" s="235"/>
      <c r="L107" s="235"/>
      <c r="M107" s="235"/>
      <c r="N107" s="235"/>
    </row>
    <row r="108" customFormat="false" ht="15" hidden="false" customHeight="true" outlineLevel="0" collapsed="false">
      <c r="A108" s="235"/>
      <c r="B108" s="235"/>
      <c r="C108" s="235"/>
      <c r="D108" s="235"/>
      <c r="E108" s="235"/>
      <c r="F108" s="235"/>
      <c r="G108" s="235"/>
      <c r="H108" s="235"/>
      <c r="I108" s="235"/>
      <c r="J108" s="235"/>
      <c r="K108" s="235"/>
      <c r="L108" s="235"/>
      <c r="M108" s="235"/>
      <c r="N108" s="235"/>
    </row>
    <row r="109" customFormat="false" ht="15" hidden="false" customHeight="true" outlineLevel="0" collapsed="false">
      <c r="A109" s="235"/>
      <c r="B109" s="235"/>
      <c r="C109" s="235"/>
      <c r="D109" s="235"/>
      <c r="E109" s="235"/>
      <c r="F109" s="235"/>
      <c r="G109" s="235"/>
      <c r="H109" s="235"/>
      <c r="I109" s="235"/>
      <c r="J109" s="235"/>
      <c r="K109" s="235"/>
      <c r="L109" s="235"/>
      <c r="M109" s="235"/>
      <c r="N109" s="235"/>
    </row>
    <row r="110" customFormat="false" ht="15" hidden="false" customHeight="true" outlineLevel="0" collapsed="false">
      <c r="A110" s="235"/>
      <c r="B110" s="235"/>
      <c r="C110" s="235"/>
      <c r="D110" s="235"/>
      <c r="E110" s="235"/>
      <c r="F110" s="235"/>
      <c r="G110" s="235"/>
      <c r="H110" s="235"/>
      <c r="I110" s="235"/>
      <c r="J110" s="235"/>
      <c r="K110" s="235"/>
      <c r="L110" s="235"/>
      <c r="M110" s="235"/>
      <c r="N110" s="235"/>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O12" activePane="bottomRight" state="frozen"/>
      <selection pane="topLeft" activeCell="A1" activeCellId="0" sqref="A1"/>
      <selection pane="topRight" activeCell="O1" activeCellId="0" sqref="O1"/>
      <selection pane="bottomLeft" activeCell="A12" activeCellId="0" sqref="A12"/>
      <selection pane="bottomRight" activeCell="D21" activeCellId="0" sqref="D21"/>
    </sheetView>
  </sheetViews>
  <sheetFormatPr defaultColWidth="8.6796875" defaultRowHeight="14.4" zeroHeight="false" outlineLevelRow="0" outlineLevelCol="0"/>
  <cols>
    <col collapsed="false" customWidth="true" hidden="false" outlineLevel="0" max="1" min="1" style="288" width="23.44"/>
    <col collapsed="false" customWidth="true" hidden="false" outlineLevel="0" max="2" min="2" style="0" width="25.33"/>
    <col collapsed="false" customWidth="true" hidden="false" outlineLevel="0" max="3" min="3" style="0" width="32.77"/>
    <col collapsed="false" customWidth="true" hidden="false" outlineLevel="0" max="4" min="4" style="0"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0" width="11.22"/>
    <col collapsed="false" customWidth="true" hidden="false" outlineLevel="0" max="25" min="25" style="0" width="2.44"/>
    <col collapsed="false" customWidth="true" hidden="false" outlineLevel="0" max="26" min="26" style="0" width="12.67"/>
    <col collapsed="false" customWidth="true" hidden="false" outlineLevel="0" max="27" min="27" style="0" width="3.22"/>
    <col collapsed="false" customWidth="true" hidden="false" outlineLevel="0" max="28" min="28" style="0" width="27.22"/>
  </cols>
  <sheetData>
    <row r="1" customFormat="false" ht="17.35" hidden="false" customHeight="false" outlineLevel="0" collapsed="false">
      <c r="A1" s="290" t="s">
        <v>3026</v>
      </c>
    </row>
    <row r="2" customFormat="false" ht="15.6" hidden="false" customHeight="false" outlineLevel="0" collapsed="false">
      <c r="A2" s="291" t="s">
        <v>3027</v>
      </c>
    </row>
    <row r="3" customFormat="false" ht="14.4" hidden="false" customHeight="false" outlineLevel="0" collapsed="false">
      <c r="A3" s="292" t="s">
        <v>3028</v>
      </c>
    </row>
    <row r="4" customFormat="false" ht="14.4" hidden="false" customHeight="false" outlineLevel="0" collapsed="false">
      <c r="A4" s="293" t="s">
        <v>3029</v>
      </c>
    </row>
    <row r="5" customFormat="false" ht="14.4" hidden="false" customHeight="false" outlineLevel="0" collapsed="false">
      <c r="B5" s="294" t="s">
        <v>3030</v>
      </c>
    </row>
    <row r="6" customFormat="false" ht="14.4" hidden="false" customHeight="false" outlineLevel="0" collapsed="false">
      <c r="B6" s="295" t="s">
        <v>3031</v>
      </c>
      <c r="D6" s="296" t="n">
        <v>0.0684709084304367</v>
      </c>
      <c r="E6" s="297"/>
    </row>
    <row r="7" customFormat="false" ht="14.4" hidden="false" customHeight="false" outlineLevel="0" collapsed="false">
      <c r="B7" s="295" t="s">
        <v>3032</v>
      </c>
      <c r="D7" s="298" t="n">
        <v>0.164053707514993</v>
      </c>
      <c r="E7" s="297"/>
    </row>
    <row r="8" customFormat="false" ht="14.4" hidden="false" customHeight="false" outlineLevel="0" collapsed="false">
      <c r="B8" s="295" t="s">
        <v>3033</v>
      </c>
      <c r="D8" s="299" t="n">
        <v>46661</v>
      </c>
      <c r="V8" s="300" t="s">
        <v>3034</v>
      </c>
    </row>
    <row r="9" customFormat="false" ht="14.4" hidden="false" customHeight="false" outlineLevel="0" collapsed="false">
      <c r="V9" s="300" t="s">
        <v>3035</v>
      </c>
    </row>
    <row r="10" s="309" customFormat="true" ht="29.55" hidden="false" customHeight="true" outlineLevel="0" collapsed="false">
      <c r="A10" s="301"/>
      <c r="B10" s="302" t="s">
        <v>3036</v>
      </c>
      <c r="C10" s="302" t="s">
        <v>3037</v>
      </c>
      <c r="D10" s="303" t="s">
        <v>3038</v>
      </c>
      <c r="E10" s="303" t="s">
        <v>3039</v>
      </c>
      <c r="F10" s="303" t="s">
        <v>3040</v>
      </c>
      <c r="G10" s="304" t="s">
        <v>3041</v>
      </c>
      <c r="H10" s="304" t="s">
        <v>3042</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3043</v>
      </c>
      <c r="AB10" s="310" t="s">
        <v>3044</v>
      </c>
    </row>
    <row r="11" customFormat="false" ht="14.4" hidden="false" customHeight="false" outlineLevel="0" collapsed="false">
      <c r="E11" s="311" t="s">
        <v>3045</v>
      </c>
      <c r="F11" s="311" t="s">
        <v>3045</v>
      </c>
      <c r="G11" s="312"/>
      <c r="H11" s="313" t="s">
        <v>3046</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4" hidden="false" customHeight="fals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4" hidden="false" customHeight="false" outlineLevel="0" collapsed="false">
      <c r="B13" s="317" t="s">
        <v>3047</v>
      </c>
    </row>
    <row r="14" customFormat="false" ht="14.4" hidden="false" customHeight="false" outlineLevel="0" collapsed="false">
      <c r="B14" s="318" t="s">
        <v>3048</v>
      </c>
      <c r="C14" s="318" t="s">
        <v>3049</v>
      </c>
      <c r="D14" s="319" t="n">
        <v>60513</v>
      </c>
      <c r="E14" s="320" t="n">
        <v>46266</v>
      </c>
      <c r="F14" s="320" t="n">
        <v>46722</v>
      </c>
      <c r="G14" s="321" t="n">
        <v>0.03</v>
      </c>
      <c r="H14" s="322" t="n">
        <f aca="false">$D$8</f>
        <v>46661</v>
      </c>
      <c r="I14" s="323" t="n">
        <f aca="false">IF(OR($D14="",$E14="",NOT(ISNUMBER($D14))),"",IF(AND($E14&lt;=I$10,IF($F14="",$X$10,$F14)&gt;=I$10),$D14/12*(1+N($G14))^IF(AND(ISNUMBER($H14),I$10&gt;=$H14),1+INT(DATEDIF($H14,I$10,"m")/12),0),0))</f>
        <v>5042.75</v>
      </c>
      <c r="J14" s="323" t="n">
        <f aca="false">IF(OR($D14="",$E14="",NOT(ISNUMBER($D14))),"",IF(AND($E14&lt;=J$10,IF($F14="",$X$10,$F14)&gt;=J$10),$D14/12*(1+N($G14))^IF(AND(ISNUMBER($H14),J$10&gt;=$H14),1+INT(DATEDIF($H14,J$10,"m")/12),0),0))</f>
        <v>5042.75</v>
      </c>
      <c r="K14" s="323" t="n">
        <f aca="false">IF(OR($D14="",$E14="",NOT(ISNUMBER($D14))),"",IF(AND($E14&lt;=K$10,IF($F14="",$X$10,$F14)&gt;=K$10),$D14/12*(1+N($G14))^IF(AND(ISNUMBER($H14),K$10&gt;=$H14),1+INT(DATEDIF($H14,K$10,"m")/12),0),0))</f>
        <v>5042.75</v>
      </c>
      <c r="L14" s="323" t="n">
        <f aca="false">IF(OR($D14="",$E14="",NOT(ISNUMBER($D14))),"",IF(AND($E14&lt;=L$10,IF($F14="",$X$10,$F14)&gt;=L$10),$D14/12*(1+N($G14))^IF(AND(ISNUMBER($H14),L$10&gt;=$H14),1+INT(DATEDIF($H14,L$10,"m")/12),0),0))</f>
        <v>5042.75</v>
      </c>
      <c r="M14" s="324" t="n">
        <f aca="false">IF(OR($D14="",$E14="",NOT(ISNUMBER($D14))),"",IF(AND($E14&lt;=M$10,IF($F14="",$X$10,$F14)&gt;=M$10),$D14/12*(1+N($G14))^IF(AND(ISNUMBER($H14),M$10&gt;=$H14),1+INT(DATEDIF($H14,M$10,"m")/12),0),0))</f>
        <v>5042.75</v>
      </c>
      <c r="N14" s="323" t="n">
        <f aca="false">IF(OR($D14="",$E14="",NOT(ISNUMBER($D14))),"",IF(AND($E14&lt;=N$10,IF($F14="",$X$10,$F14)&gt;=N$10),$D14/12*(1+N($G14))^IF(AND(ISNUMBER($H14),N$10&gt;=$H14),1+INT(DATEDIF($H14,N$10,"m")/12),0),0))</f>
        <v>5042.75</v>
      </c>
      <c r="O14" s="323" t="n">
        <f aca="false">IF(OR($D14="",$E14="",NOT(ISNUMBER($D14))),"",IF(AND($E14&lt;=O$10,IF($F14="",$X$10,$F14)&gt;=O$10),$D14/12*(1+N($G14))^IF(AND(ISNUMBER($H14),O$10&gt;=$H14),1+INT(DATEDIF($H14,O$10,"m")/12),0),0))</f>
        <v>5042.75</v>
      </c>
      <c r="P14" s="323" t="n">
        <f aca="false">IF(OR($D14="",$E14="",NOT(ISNUMBER($D14))),"",IF(AND($E14&lt;=P$10,IF($F14="",$X$10,$F14)&gt;=P$10),$D14/12*(1+N($G14))^IF(AND(ISNUMBER($H14),P$10&gt;=$H14),1+INT(DATEDIF($H14,P$10,"m")/12),0),0))</f>
        <v>5042.75</v>
      </c>
      <c r="Q14" s="323" t="n">
        <f aca="false">IF(OR($D14="",$E14="",NOT(ISNUMBER($D14))),"",IF(AND($E14&lt;=Q$10,IF($F14="",$X$10,$F14)&gt;=Q$10),$D14/12*(1+N($G14))^IF(AND(ISNUMBER($H14),Q$10&gt;=$H14),1+INT(DATEDIF($H14,Q$10,"m")/12),0),0))</f>
        <v>5042.75</v>
      </c>
      <c r="R14" s="323" t="n">
        <f aca="false">IF(OR($D14="",$E14="",NOT(ISNUMBER($D14))),"",IF(AND($E14&lt;=R$10,IF($F14="",$X$10,$F14)&gt;=R$10),$D14/12*(1+N($G14))^IF(AND(ISNUMBER($H14),R$10&gt;=$H14),1+INT(DATEDIF($H14,R$10,"m")/12),0),0))</f>
        <v>5042.75</v>
      </c>
      <c r="S14" s="323" t="n">
        <f aca="false">IF(OR($D14="",$E14="",NOT(ISNUMBER($D14))),"",IF(AND($E14&lt;=S$10,IF($F14="",$X$10,$F14)&gt;=S$10),$D14/12*(1+N($G14))^IF(AND(ISNUMBER($H14),S$10&gt;=$H14),1+INT(DATEDIF($H14,S$10,"m")/12),0),0))</f>
        <v>5042.75</v>
      </c>
      <c r="T14" s="323" t="n">
        <f aca="false">IF(OR($D14="",$E14="",NOT(ISNUMBER($D14))),"",IF(AND($E14&lt;=T$10,IF($F14="",$X$10,$F14)&gt;=T$10),$D14/12*(1+N($G14))^IF(AND(ISNUMBER($H14),T$10&gt;=$H14),1+INT(DATEDIF($H14,T$10,"m")/12),0),0))</f>
        <v>5042.75</v>
      </c>
      <c r="U14" s="323" t="n">
        <f aca="false">IF(OR($D14="",$E14="",NOT(ISNUMBER($D14))),"",IF(AND($E14&lt;=U$10,IF($F14="",$X$10,$F14)&gt;=U$10),$D14/12*(1+N($G14))^IF(AND(ISNUMBER($H14),U$10&gt;=$H14),1+INT(DATEDIF($H14,U$10,"m")/12),0),0))</f>
        <v>5042.75</v>
      </c>
      <c r="V14" s="323" t="n">
        <f aca="false">IF(OR($D14="",$E14="",NOT(ISNUMBER($D14))),"",IF(AND($E14&lt;=V$10,IF($F14="",$X$10,$F14)&gt;=V$10),$D14/12*(1+N($G14))^IF(AND(ISNUMBER($H14),V$10&gt;=$H14),1+INT(DATEDIF($H14,V$10,"m")/12),0),0))</f>
        <v>5194.0325</v>
      </c>
      <c r="W14" s="323" t="n">
        <f aca="false">IF(OR($D14="",$E14="",NOT(ISNUMBER($D14))),"",IF(AND($E14&lt;=W$10,IF($F14="",$X$10,$F14)&gt;=W$10),$D14/12*(1+N($G14))^IF(AND(ISNUMBER($H14),W$10&gt;=$H14),1+INT(DATEDIF($H14,W$10,"m")/12),0),0))</f>
        <v>5194.0325</v>
      </c>
      <c r="X14" s="323" t="n">
        <f aca="false">IF(OR($D14="",$E14="",NOT(ISNUMBER($D14))),"",IF(AND($E14&lt;=X$10,IF($F14="",$X$10,$F14)&gt;=X$10),$D14/12*(1+N($G14))^IF(AND(ISNUMBER($H14),X$10&gt;=$H14),1+INT(DATEDIF($H14,X$10,"m")/12),0),0))</f>
        <v>5194.0325</v>
      </c>
      <c r="Y14" s="323"/>
      <c r="Z14" s="323" t="n">
        <f aca="false">SUM(M14:X14)</f>
        <v>60966.8475</v>
      </c>
      <c r="AB14" s="325" t="str">
        <f aca="false">IF($D14&amp;$E14="","",IF(AND($D14&lt;&gt;"",NOT(ISNUMBER($D14))),"Salary must be a number",IF(AND($D14&lt;&gt;"",$E14=""),"Start month missing",IF(AND(ISNUMBER($E14),ISNUMBER($F14),$F14&lt;$E14),"End is before Start",IF(AND($D14&lt;&gt;"",NOT(ISNUMBER($H14))),"Increase month missing","")))))</f>
        <v/>
      </c>
    </row>
    <row r="15" customFormat="false" ht="14.4" hidden="false" customHeight="false" outlineLevel="0" collapsed="false">
      <c r="B15" s="318" t="s">
        <v>3050</v>
      </c>
      <c r="C15" s="318" t="s">
        <v>3049</v>
      </c>
      <c r="D15" s="319" t="n">
        <v>70021</v>
      </c>
      <c r="E15" s="320" t="n">
        <v>46266</v>
      </c>
      <c r="F15" s="320" t="n">
        <v>46722</v>
      </c>
      <c r="G15" s="321" t="n">
        <v>0.03</v>
      </c>
      <c r="H15" s="322" t="n">
        <f aca="false">$D$8</f>
        <v>46661</v>
      </c>
      <c r="I15" s="323" t="n">
        <f aca="false">IF(OR($D15="",$E15="",NOT(ISNUMBER($D15))),"",IF(AND($E15&lt;=I$10,IF($F15="",$X$10,$F15)&gt;=I$10),$D15/12*(1+N($G15))^IF(AND(ISNUMBER($H15),I$10&gt;=$H15),1+INT(DATEDIF($H15,I$10,"m")/12),0),0))</f>
        <v>5835.08333333333</v>
      </c>
      <c r="J15" s="323" t="n">
        <f aca="false">IF(OR($D15="",$E15="",NOT(ISNUMBER($D15))),"",IF(AND($E15&lt;=J$10,IF($F15="",$X$10,$F15)&gt;=J$10),$D15/12*(1+N($G15))^IF(AND(ISNUMBER($H15),J$10&gt;=$H15),1+INT(DATEDIF($H15,J$10,"m")/12),0),0))</f>
        <v>5835.08333333333</v>
      </c>
      <c r="K15" s="323" t="n">
        <f aca="false">IF(OR($D15="",$E15="",NOT(ISNUMBER($D15))),"",IF(AND($E15&lt;=K$10,IF($F15="",$X$10,$F15)&gt;=K$10),$D15/12*(1+N($G15))^IF(AND(ISNUMBER($H15),K$10&gt;=$H15),1+INT(DATEDIF($H15,K$10,"m")/12),0),0))</f>
        <v>5835.08333333333</v>
      </c>
      <c r="L15" s="323" t="n">
        <f aca="false">IF(OR($D15="",$E15="",NOT(ISNUMBER($D15))),"",IF(AND($E15&lt;=L$10,IF($F15="",$X$10,$F15)&gt;=L$10),$D15/12*(1+N($G15))^IF(AND(ISNUMBER($H15),L$10&gt;=$H15),1+INT(DATEDIF($H15,L$10,"m")/12),0),0))</f>
        <v>5835.08333333333</v>
      </c>
      <c r="M15" s="323" t="n">
        <f aca="false">IF(OR($D15="",$E15="",NOT(ISNUMBER($D15))),"",IF(AND($E15&lt;=M$10,IF($F15="",$X$10,$F15)&gt;=M$10),$D15/12*(1+N($G15))^IF(AND(ISNUMBER($H15),M$10&gt;=$H15),1+INT(DATEDIF($H15,M$10,"m")/12),0),0))</f>
        <v>5835.08333333333</v>
      </c>
      <c r="N15" s="323" t="n">
        <f aca="false">IF(OR($D15="",$E15="",NOT(ISNUMBER($D15))),"",IF(AND($E15&lt;=N$10,IF($F15="",$X$10,$F15)&gt;=N$10),$D15/12*(1+N($G15))^IF(AND(ISNUMBER($H15),N$10&gt;=$H15),1+INT(DATEDIF($H15,N$10,"m")/12),0),0))</f>
        <v>5835.08333333333</v>
      </c>
      <c r="O15" s="323" t="n">
        <f aca="false">IF(OR($D15="",$E15="",NOT(ISNUMBER($D15))),"",IF(AND($E15&lt;=O$10,IF($F15="",$X$10,$F15)&gt;=O$10),$D15/12*(1+N($G15))^IF(AND(ISNUMBER($H15),O$10&gt;=$H15),1+INT(DATEDIF($H15,O$10,"m")/12),0),0))</f>
        <v>5835.08333333333</v>
      </c>
      <c r="P15" s="323" t="n">
        <f aca="false">IF(OR($D15="",$E15="",NOT(ISNUMBER($D15))),"",IF(AND($E15&lt;=P$10,IF($F15="",$X$10,$F15)&gt;=P$10),$D15/12*(1+N($G15))^IF(AND(ISNUMBER($H15),P$10&gt;=$H15),1+INT(DATEDIF($H15,P$10,"m")/12),0),0))</f>
        <v>5835.08333333333</v>
      </c>
      <c r="Q15" s="323" t="n">
        <f aca="false">IF(OR($D15="",$E15="",NOT(ISNUMBER($D15))),"",IF(AND($E15&lt;=Q$10,IF($F15="",$X$10,$F15)&gt;=Q$10),$D15/12*(1+N($G15))^IF(AND(ISNUMBER($H15),Q$10&gt;=$H15),1+INT(DATEDIF($H15,Q$10,"m")/12),0),0))</f>
        <v>5835.08333333333</v>
      </c>
      <c r="R15" s="323" t="n">
        <f aca="false">IF(OR($D15="",$E15="",NOT(ISNUMBER($D15))),"",IF(AND($E15&lt;=R$10,IF($F15="",$X$10,$F15)&gt;=R$10),$D15/12*(1+N($G15))^IF(AND(ISNUMBER($H15),R$10&gt;=$H15),1+INT(DATEDIF($H15,R$10,"m")/12),0),0))</f>
        <v>5835.08333333333</v>
      </c>
      <c r="S15" s="323" t="n">
        <f aca="false">IF(OR($D15="",$E15="",NOT(ISNUMBER($D15))),"",IF(AND($E15&lt;=S$10,IF($F15="",$X$10,$F15)&gt;=S$10),$D15/12*(1+N($G15))^IF(AND(ISNUMBER($H15),S$10&gt;=$H15),1+INT(DATEDIF($H15,S$10,"m")/12),0),0))</f>
        <v>5835.08333333333</v>
      </c>
      <c r="T15" s="323" t="n">
        <f aca="false">IF(OR($D15="",$E15="",NOT(ISNUMBER($D15))),"",IF(AND($E15&lt;=T$10,IF($F15="",$X$10,$F15)&gt;=T$10),$D15/12*(1+N($G15))^IF(AND(ISNUMBER($H15),T$10&gt;=$H15),1+INT(DATEDIF($H15,T$10,"m")/12),0),0))</f>
        <v>5835.08333333333</v>
      </c>
      <c r="U15" s="323" t="n">
        <f aca="false">IF(OR($D15="",$E15="",NOT(ISNUMBER($D15))),"",IF(AND($E15&lt;=U$10,IF($F15="",$X$10,$F15)&gt;=U$10),$D15/12*(1+N($G15))^IF(AND(ISNUMBER($H15),U$10&gt;=$H15),1+INT(DATEDIF($H15,U$10,"m")/12),0),0))</f>
        <v>5835.08333333333</v>
      </c>
      <c r="V15" s="323" t="n">
        <f aca="false">IF(OR($D15="",$E15="",NOT(ISNUMBER($D15))),"",IF(AND($E15&lt;=V$10,IF($F15="",$X$10,$F15)&gt;=V$10),$D15/12*(1+N($G15))^IF(AND(ISNUMBER($H15),V$10&gt;=$H15),1+INT(DATEDIF($H15,V$10,"m")/12),0),0))</f>
        <v>6010.13583333333</v>
      </c>
      <c r="W15" s="323" t="n">
        <f aca="false">IF(OR($D15="",$E15="",NOT(ISNUMBER($D15))),"",IF(AND($E15&lt;=W$10,IF($F15="",$X$10,$F15)&gt;=W$10),$D15/12*(1+N($G15))^IF(AND(ISNUMBER($H15),W$10&gt;=$H15),1+INT(DATEDIF($H15,W$10,"m")/12),0),0))</f>
        <v>6010.13583333333</v>
      </c>
      <c r="X15" s="323" t="n">
        <f aca="false">IF(OR($D15="",$E15="",NOT(ISNUMBER($D15))),"",IF(AND($E15&lt;=X$10,IF($F15="",$X$10,$F15)&gt;=X$10),$D15/12*(1+N($G15))^IF(AND(ISNUMBER($H15),X$10&gt;=$H15),1+INT(DATEDIF($H15,X$10,"m")/12),0),0))</f>
        <v>6010.13583333333</v>
      </c>
      <c r="Y15" s="323"/>
      <c r="Z15" s="323" t="n">
        <f aca="false">SUM(M15:X15)</f>
        <v>70546.1575</v>
      </c>
      <c r="AB15" s="325" t="str">
        <f aca="false">IF($D15&amp;$E15="","",IF(AND($D15&lt;&gt;"",NOT(ISNUMBER($D15))),"Salary must be a number",IF(AND($D15&lt;&gt;"",$E15=""),"Start month missing",IF(AND(ISNUMBER($E15),ISNUMBER($F15),$F15&lt;$E15),"End is before Start",IF(AND($D15&lt;&gt;"",NOT(ISNUMBER($H15))),"Increase month missing","")))))</f>
        <v/>
      </c>
    </row>
    <row r="16" customFormat="false" ht="14.4" hidden="false" customHeight="false" outlineLevel="0" collapsed="false">
      <c r="B16" s="318" t="s">
        <v>3051</v>
      </c>
      <c r="C16" s="318" t="s">
        <v>3049</v>
      </c>
      <c r="D16" s="319" t="n">
        <v>69376</v>
      </c>
      <c r="E16" s="320" t="n">
        <v>46266</v>
      </c>
      <c r="F16" s="320" t="n">
        <v>46722</v>
      </c>
      <c r="G16" s="321" t="n">
        <v>0.03</v>
      </c>
      <c r="H16" s="322" t="n">
        <f aca="false">$D$8</f>
        <v>46661</v>
      </c>
      <c r="I16" s="323" t="n">
        <f aca="false">IF(OR($D16="",$E16="",NOT(ISNUMBER($D16))),"",IF(AND($E16&lt;=I$10,IF($F16="",$X$10,$F16)&gt;=I$10),$D16/12*(1+N($G16))^IF(AND(ISNUMBER($H16),I$10&gt;=$H16),1+INT(DATEDIF($H16,I$10,"m")/12),0),0))</f>
        <v>5781.33333333333</v>
      </c>
      <c r="J16" s="323" t="n">
        <f aca="false">IF(OR($D16="",$E16="",NOT(ISNUMBER($D16))),"",IF(AND($E16&lt;=J$10,IF($F16="",$X$10,$F16)&gt;=J$10),$D16/12*(1+N($G16))^IF(AND(ISNUMBER($H16),J$10&gt;=$H16),1+INT(DATEDIF($H16,J$10,"m")/12),0),0))</f>
        <v>5781.33333333333</v>
      </c>
      <c r="K16" s="323" t="n">
        <f aca="false">IF(OR($D16="",$E16="",NOT(ISNUMBER($D16))),"",IF(AND($E16&lt;=K$10,IF($F16="",$X$10,$F16)&gt;=K$10),$D16/12*(1+N($G16))^IF(AND(ISNUMBER($H16),K$10&gt;=$H16),1+INT(DATEDIF($H16,K$10,"m")/12),0),0))</f>
        <v>5781.33333333333</v>
      </c>
      <c r="L16" s="323" t="n">
        <f aca="false">IF(OR($D16="",$E16="",NOT(ISNUMBER($D16))),"",IF(AND($E16&lt;=L$10,IF($F16="",$X$10,$F16)&gt;=L$10),$D16/12*(1+N($G16))^IF(AND(ISNUMBER($H16),L$10&gt;=$H16),1+INT(DATEDIF($H16,L$10,"m")/12),0),0))</f>
        <v>5781.33333333333</v>
      </c>
      <c r="M16" s="323" t="n">
        <f aca="false">IF(OR($D16="",$E16="",NOT(ISNUMBER($D16))),"",IF(AND($E16&lt;=M$10,IF($F16="",$X$10,$F16)&gt;=M$10),$D16/12*(1+N($G16))^IF(AND(ISNUMBER($H16),M$10&gt;=$H16),1+INT(DATEDIF($H16,M$10,"m")/12),0),0))</f>
        <v>5781.33333333333</v>
      </c>
      <c r="N16" s="323" t="n">
        <f aca="false">IF(OR($D16="",$E16="",NOT(ISNUMBER($D16))),"",IF(AND($E16&lt;=N$10,IF($F16="",$X$10,$F16)&gt;=N$10),$D16/12*(1+N($G16))^IF(AND(ISNUMBER($H16),N$10&gt;=$H16),1+INT(DATEDIF($H16,N$10,"m")/12),0),0))</f>
        <v>5781.33333333333</v>
      </c>
      <c r="O16" s="323" t="n">
        <f aca="false">IF(OR($D16="",$E16="",NOT(ISNUMBER($D16))),"",IF(AND($E16&lt;=O$10,IF($F16="",$X$10,$F16)&gt;=O$10),$D16/12*(1+N($G16))^IF(AND(ISNUMBER($H16),O$10&gt;=$H16),1+INT(DATEDIF($H16,O$10,"m")/12),0),0))</f>
        <v>5781.33333333333</v>
      </c>
      <c r="P16" s="323" t="n">
        <f aca="false">IF(OR($D16="",$E16="",NOT(ISNUMBER($D16))),"",IF(AND($E16&lt;=P$10,IF($F16="",$X$10,$F16)&gt;=P$10),$D16/12*(1+N($G16))^IF(AND(ISNUMBER($H16),P$10&gt;=$H16),1+INT(DATEDIF($H16,P$10,"m")/12),0),0))</f>
        <v>5781.33333333333</v>
      </c>
      <c r="Q16" s="323" t="n">
        <f aca="false">IF(OR($D16="",$E16="",NOT(ISNUMBER($D16))),"",IF(AND($E16&lt;=Q$10,IF($F16="",$X$10,$F16)&gt;=Q$10),$D16/12*(1+N($G16))^IF(AND(ISNUMBER($H16),Q$10&gt;=$H16),1+INT(DATEDIF($H16,Q$10,"m")/12),0),0))</f>
        <v>5781.33333333333</v>
      </c>
      <c r="R16" s="323" t="n">
        <f aca="false">IF(OR($D16="",$E16="",NOT(ISNUMBER($D16))),"",IF(AND($E16&lt;=R$10,IF($F16="",$X$10,$F16)&gt;=R$10),$D16/12*(1+N($G16))^IF(AND(ISNUMBER($H16),R$10&gt;=$H16),1+INT(DATEDIF($H16,R$10,"m")/12),0),0))</f>
        <v>5781.33333333333</v>
      </c>
      <c r="S16" s="323" t="n">
        <f aca="false">IF(OR($D16="",$E16="",NOT(ISNUMBER($D16))),"",IF(AND($E16&lt;=S$10,IF($F16="",$X$10,$F16)&gt;=S$10),$D16/12*(1+N($G16))^IF(AND(ISNUMBER($H16),S$10&gt;=$H16),1+INT(DATEDIF($H16,S$10,"m")/12),0),0))</f>
        <v>5781.33333333333</v>
      </c>
      <c r="T16" s="323" t="n">
        <f aca="false">IF(OR($D16="",$E16="",NOT(ISNUMBER($D16))),"",IF(AND($E16&lt;=T$10,IF($F16="",$X$10,$F16)&gt;=T$10),$D16/12*(1+N($G16))^IF(AND(ISNUMBER($H16),T$10&gt;=$H16),1+INT(DATEDIF($H16,T$10,"m")/12),0),0))</f>
        <v>5781.33333333333</v>
      </c>
      <c r="U16" s="323" t="n">
        <f aca="false">IF(OR($D16="",$E16="",NOT(ISNUMBER($D16))),"",IF(AND($E16&lt;=U$10,IF($F16="",$X$10,$F16)&gt;=U$10),$D16/12*(1+N($G16))^IF(AND(ISNUMBER($H16),U$10&gt;=$H16),1+INT(DATEDIF($H16,U$10,"m")/12),0),0))</f>
        <v>5781.33333333333</v>
      </c>
      <c r="V16" s="323" t="n">
        <f aca="false">IF(OR($D16="",$E16="",NOT(ISNUMBER($D16))),"",IF(AND($E16&lt;=V$10,IF($F16="",$X$10,$F16)&gt;=V$10),$D16/12*(1+N($G16))^IF(AND(ISNUMBER($H16),V$10&gt;=$H16),1+INT(DATEDIF($H16,V$10,"m")/12),0),0))</f>
        <v>5954.77333333333</v>
      </c>
      <c r="W16" s="323" t="n">
        <f aca="false">IF(OR($D16="",$E16="",NOT(ISNUMBER($D16))),"",IF(AND($E16&lt;=W$10,IF($F16="",$X$10,$F16)&gt;=W$10),$D16/12*(1+N($G16))^IF(AND(ISNUMBER($H16),W$10&gt;=$H16),1+INT(DATEDIF($H16,W$10,"m")/12),0),0))</f>
        <v>5954.77333333333</v>
      </c>
      <c r="X16" s="323" t="n">
        <f aca="false">IF(OR($D16="",$E16="",NOT(ISNUMBER($D16))),"",IF(AND($E16&lt;=X$10,IF($F16="",$X$10,$F16)&gt;=X$10),$D16/12*(1+N($G16))^IF(AND(ISNUMBER($H16),X$10&gt;=$H16),1+INT(DATEDIF($H16,X$10,"m")/12),0),0))</f>
        <v>5954.77333333333</v>
      </c>
      <c r="Y16" s="323"/>
      <c r="Z16" s="323" t="n">
        <f aca="false">SUM(M16:X16)</f>
        <v>69896.32</v>
      </c>
      <c r="AB16" s="325" t="str">
        <f aca="false">IF($D16&amp;$E16="","",IF(AND($D16&lt;&gt;"",NOT(ISNUMBER($D16))),"Salary must be a number",IF(AND($D16&lt;&gt;"",$E16=""),"Start month missing",IF(AND(ISNUMBER($E16),ISNUMBER($F16),$F16&lt;$E16),"End is before Start",IF(AND($D16&lt;&gt;"",NOT(ISNUMBER($H16))),"Increase month missing","")))))</f>
        <v/>
      </c>
    </row>
    <row r="17" customFormat="false" ht="14.4" hidden="false" customHeight="false" outlineLevel="0" collapsed="false">
      <c r="B17" s="318" t="s">
        <v>3052</v>
      </c>
      <c r="C17" s="318" t="s">
        <v>3049</v>
      </c>
      <c r="D17" s="319" t="n">
        <v>61687</v>
      </c>
      <c r="E17" s="320" t="n">
        <v>46266</v>
      </c>
      <c r="F17" s="320" t="n">
        <v>46722</v>
      </c>
      <c r="G17" s="321" t="n">
        <v>0.03</v>
      </c>
      <c r="H17" s="322" t="n">
        <f aca="false">$D$8</f>
        <v>46661</v>
      </c>
      <c r="I17" s="323" t="n">
        <f aca="false">IF(OR($D17="",$E17="",NOT(ISNUMBER($D17))),"",IF(AND($E17&lt;=I$10,IF($F17="",$X$10,$F17)&gt;=I$10),$D17/12*(1+N($G17))^IF(AND(ISNUMBER($H17),I$10&gt;=$H17),1+INT(DATEDIF($H17,I$10,"m")/12),0),0))</f>
        <v>5140.58333333333</v>
      </c>
      <c r="J17" s="323" t="n">
        <f aca="false">IF(OR($D17="",$E17="",NOT(ISNUMBER($D17))),"",IF(AND($E17&lt;=J$10,IF($F17="",$X$10,$F17)&gt;=J$10),$D17/12*(1+N($G17))^IF(AND(ISNUMBER($H17),J$10&gt;=$H17),1+INT(DATEDIF($H17,J$10,"m")/12),0),0))</f>
        <v>5140.58333333333</v>
      </c>
      <c r="K17" s="323" t="n">
        <f aca="false">IF(OR($D17="",$E17="",NOT(ISNUMBER($D17))),"",IF(AND($E17&lt;=K$10,IF($F17="",$X$10,$F17)&gt;=K$10),$D17/12*(1+N($G17))^IF(AND(ISNUMBER($H17),K$10&gt;=$H17),1+INT(DATEDIF($H17,K$10,"m")/12),0),0))</f>
        <v>5140.58333333333</v>
      </c>
      <c r="L17" s="323" t="n">
        <f aca="false">IF(OR($D17="",$E17="",NOT(ISNUMBER($D17))),"",IF(AND($E17&lt;=L$10,IF($F17="",$X$10,$F17)&gt;=L$10),$D17/12*(1+N($G17))^IF(AND(ISNUMBER($H17),L$10&gt;=$H17),1+INT(DATEDIF($H17,L$10,"m")/12),0),0))</f>
        <v>5140.58333333333</v>
      </c>
      <c r="M17" s="323" t="n">
        <f aca="false">IF(OR($D17="",$E17="",NOT(ISNUMBER($D17))),"",IF(AND($E17&lt;=M$10,IF($F17="",$X$10,$F17)&gt;=M$10),$D17/12*(1+N($G17))^IF(AND(ISNUMBER($H17),M$10&gt;=$H17),1+INT(DATEDIF($H17,M$10,"m")/12),0),0))</f>
        <v>5140.58333333333</v>
      </c>
      <c r="N17" s="323" t="n">
        <f aca="false">IF(OR($D17="",$E17="",NOT(ISNUMBER($D17))),"",IF(AND($E17&lt;=N$10,IF($F17="",$X$10,$F17)&gt;=N$10),$D17/12*(1+N($G17))^IF(AND(ISNUMBER($H17),N$10&gt;=$H17),1+INT(DATEDIF($H17,N$10,"m")/12),0),0))</f>
        <v>5140.58333333333</v>
      </c>
      <c r="O17" s="323" t="n">
        <f aca="false">IF(OR($D17="",$E17="",NOT(ISNUMBER($D17))),"",IF(AND($E17&lt;=O$10,IF($F17="",$X$10,$F17)&gt;=O$10),$D17/12*(1+N($G17))^IF(AND(ISNUMBER($H17),O$10&gt;=$H17),1+INT(DATEDIF($H17,O$10,"m")/12),0),0))</f>
        <v>5140.58333333333</v>
      </c>
      <c r="P17" s="323" t="n">
        <f aca="false">IF(OR($D17="",$E17="",NOT(ISNUMBER($D17))),"",IF(AND($E17&lt;=P$10,IF($F17="",$X$10,$F17)&gt;=P$10),$D17/12*(1+N($G17))^IF(AND(ISNUMBER($H17),P$10&gt;=$H17),1+INT(DATEDIF($H17,P$10,"m")/12),0),0))</f>
        <v>5140.58333333333</v>
      </c>
      <c r="Q17" s="323" t="n">
        <f aca="false">IF(OR($D17="",$E17="",NOT(ISNUMBER($D17))),"",IF(AND($E17&lt;=Q$10,IF($F17="",$X$10,$F17)&gt;=Q$10),$D17/12*(1+N($G17))^IF(AND(ISNUMBER($H17),Q$10&gt;=$H17),1+INT(DATEDIF($H17,Q$10,"m")/12),0),0))</f>
        <v>5140.58333333333</v>
      </c>
      <c r="R17" s="323" t="n">
        <f aca="false">IF(OR($D17="",$E17="",NOT(ISNUMBER($D17))),"",IF(AND($E17&lt;=R$10,IF($F17="",$X$10,$F17)&gt;=R$10),$D17/12*(1+N($G17))^IF(AND(ISNUMBER($H17),R$10&gt;=$H17),1+INT(DATEDIF($H17,R$10,"m")/12),0),0))</f>
        <v>5140.58333333333</v>
      </c>
      <c r="S17" s="323" t="n">
        <f aca="false">IF(OR($D17="",$E17="",NOT(ISNUMBER($D17))),"",IF(AND($E17&lt;=S$10,IF($F17="",$X$10,$F17)&gt;=S$10),$D17/12*(1+N($G17))^IF(AND(ISNUMBER($H17),S$10&gt;=$H17),1+INT(DATEDIF($H17,S$10,"m")/12),0),0))</f>
        <v>5140.58333333333</v>
      </c>
      <c r="T17" s="323" t="n">
        <f aca="false">IF(OR($D17="",$E17="",NOT(ISNUMBER($D17))),"",IF(AND($E17&lt;=T$10,IF($F17="",$X$10,$F17)&gt;=T$10),$D17/12*(1+N($G17))^IF(AND(ISNUMBER($H17),T$10&gt;=$H17),1+INT(DATEDIF($H17,T$10,"m")/12),0),0))</f>
        <v>5140.58333333333</v>
      </c>
      <c r="U17" s="323" t="n">
        <f aca="false">IF(OR($D17="",$E17="",NOT(ISNUMBER($D17))),"",IF(AND($E17&lt;=U$10,IF($F17="",$X$10,$F17)&gt;=U$10),$D17/12*(1+N($G17))^IF(AND(ISNUMBER($H17),U$10&gt;=$H17),1+INT(DATEDIF($H17,U$10,"m")/12),0),0))</f>
        <v>5140.58333333333</v>
      </c>
      <c r="V17" s="323" t="n">
        <f aca="false">IF(OR($D17="",$E17="",NOT(ISNUMBER($D17))),"",IF(AND($E17&lt;=V$10,IF($F17="",$X$10,$F17)&gt;=V$10),$D17/12*(1+N($G17))^IF(AND(ISNUMBER($H17),V$10&gt;=$H17),1+INT(DATEDIF($H17,V$10,"m")/12),0),0))</f>
        <v>5294.80083333333</v>
      </c>
      <c r="W17" s="323" t="n">
        <f aca="false">IF(OR($D17="",$E17="",NOT(ISNUMBER($D17))),"",IF(AND($E17&lt;=W$10,IF($F17="",$X$10,$F17)&gt;=W$10),$D17/12*(1+N($G17))^IF(AND(ISNUMBER($H17),W$10&gt;=$H17),1+INT(DATEDIF($H17,W$10,"m")/12),0),0))</f>
        <v>5294.80083333333</v>
      </c>
      <c r="X17" s="323" t="n">
        <f aca="false">IF(OR($D17="",$E17="",NOT(ISNUMBER($D17))),"",IF(AND($E17&lt;=X$10,IF($F17="",$X$10,$F17)&gt;=X$10),$D17/12*(1+N($G17))^IF(AND(ISNUMBER($H17),X$10&gt;=$H17),1+INT(DATEDIF($H17,X$10,"m")/12),0),0))</f>
        <v>5294.80083333333</v>
      </c>
      <c r="Y17" s="323"/>
      <c r="Z17" s="323" t="n">
        <f aca="false">SUM(M17:X17)</f>
        <v>62149.6525</v>
      </c>
      <c r="AB17" s="325" t="str">
        <f aca="false">IF($D17&amp;$E17="","",IF(AND($D17&lt;&gt;"",NOT(ISNUMBER($D17))),"Salary must be a number",IF(AND($D17&lt;&gt;"",$E17=""),"Start month missing",IF(AND(ISNUMBER($E17),ISNUMBER($F17),$F17&lt;$E17),"End is before Start",IF(AND($D17&lt;&gt;"",NOT(ISNUMBER($H17))),"Increase month missing","")))))</f>
        <v/>
      </c>
    </row>
    <row r="18" customFormat="false" ht="14.4" hidden="false" customHeight="false" outlineLevel="0" collapsed="false">
      <c r="B18" s="318" t="s">
        <v>3053</v>
      </c>
      <c r="C18" s="318" t="s">
        <v>3049</v>
      </c>
      <c r="D18" s="319" t="n">
        <v>60593</v>
      </c>
      <c r="E18" s="320" t="n">
        <v>46266</v>
      </c>
      <c r="F18" s="320" t="n">
        <v>46722</v>
      </c>
      <c r="G18" s="321" t="n">
        <v>0.03</v>
      </c>
      <c r="H18" s="322" t="n">
        <f aca="false">$D$8</f>
        <v>46661</v>
      </c>
      <c r="I18" s="323" t="n">
        <f aca="false">IF(OR($D18="",$E18="",NOT(ISNUMBER($D18))),"",IF(AND($E18&lt;=I$10,IF($F18="",$X$10,$F18)&gt;=I$10),$D18/12*(1+N($G18))^IF(AND(ISNUMBER($H18),I$10&gt;=$H18),1+INT(DATEDIF($H18,I$10,"m")/12),0),0))</f>
        <v>5049.41666666667</v>
      </c>
      <c r="J18" s="323" t="n">
        <f aca="false">IF(OR($D18="",$E18="",NOT(ISNUMBER($D18))),"",IF(AND($E18&lt;=J$10,IF($F18="",$X$10,$F18)&gt;=J$10),$D18/12*(1+N($G18))^IF(AND(ISNUMBER($H18),J$10&gt;=$H18),1+INT(DATEDIF($H18,J$10,"m")/12),0),0))</f>
        <v>5049.41666666667</v>
      </c>
      <c r="K18" s="323" t="n">
        <f aca="false">IF(OR($D18="",$E18="",NOT(ISNUMBER($D18))),"",IF(AND($E18&lt;=K$10,IF($F18="",$X$10,$F18)&gt;=K$10),$D18/12*(1+N($G18))^IF(AND(ISNUMBER($H18),K$10&gt;=$H18),1+INT(DATEDIF($H18,K$10,"m")/12),0),0))</f>
        <v>5049.41666666667</v>
      </c>
      <c r="L18" s="323" t="n">
        <f aca="false">IF(OR($D18="",$E18="",NOT(ISNUMBER($D18))),"",IF(AND($E18&lt;=L$10,IF($F18="",$X$10,$F18)&gt;=L$10),$D18/12*(1+N($G18))^IF(AND(ISNUMBER($H18),L$10&gt;=$H18),1+INT(DATEDIF($H18,L$10,"m")/12),0),0))</f>
        <v>5049.41666666667</v>
      </c>
      <c r="M18" s="323" t="n">
        <f aca="false">IF(OR($D18="",$E18="",NOT(ISNUMBER($D18))),"",IF(AND($E18&lt;=M$10,IF($F18="",$X$10,$F18)&gt;=M$10),$D18/12*(1+N($G18))^IF(AND(ISNUMBER($H18),M$10&gt;=$H18),1+INT(DATEDIF($H18,M$10,"m")/12),0),0))</f>
        <v>5049.41666666667</v>
      </c>
      <c r="N18" s="323" t="n">
        <f aca="false">IF(OR($D18="",$E18="",NOT(ISNUMBER($D18))),"",IF(AND($E18&lt;=N$10,IF($F18="",$X$10,$F18)&gt;=N$10),$D18/12*(1+N($G18))^IF(AND(ISNUMBER($H18),N$10&gt;=$H18),1+INT(DATEDIF($H18,N$10,"m")/12),0),0))</f>
        <v>5049.41666666667</v>
      </c>
      <c r="O18" s="323" t="n">
        <f aca="false">IF(OR($D18="",$E18="",NOT(ISNUMBER($D18))),"",IF(AND($E18&lt;=O$10,IF($F18="",$X$10,$F18)&gt;=O$10),$D18/12*(1+N($G18))^IF(AND(ISNUMBER($H18),O$10&gt;=$H18),1+INT(DATEDIF($H18,O$10,"m")/12),0),0))</f>
        <v>5049.41666666667</v>
      </c>
      <c r="P18" s="323" t="n">
        <f aca="false">IF(OR($D18="",$E18="",NOT(ISNUMBER($D18))),"",IF(AND($E18&lt;=P$10,IF($F18="",$X$10,$F18)&gt;=P$10),$D18/12*(1+N($G18))^IF(AND(ISNUMBER($H18),P$10&gt;=$H18),1+INT(DATEDIF($H18,P$10,"m")/12),0),0))</f>
        <v>5049.41666666667</v>
      </c>
      <c r="Q18" s="323" t="n">
        <f aca="false">IF(OR($D18="",$E18="",NOT(ISNUMBER($D18))),"",IF(AND($E18&lt;=Q$10,IF($F18="",$X$10,$F18)&gt;=Q$10),$D18/12*(1+N($G18))^IF(AND(ISNUMBER($H18),Q$10&gt;=$H18),1+INT(DATEDIF($H18,Q$10,"m")/12),0),0))</f>
        <v>5049.41666666667</v>
      </c>
      <c r="R18" s="323" t="n">
        <f aca="false">IF(OR($D18="",$E18="",NOT(ISNUMBER($D18))),"",IF(AND($E18&lt;=R$10,IF($F18="",$X$10,$F18)&gt;=R$10),$D18/12*(1+N($G18))^IF(AND(ISNUMBER($H18),R$10&gt;=$H18),1+INT(DATEDIF($H18,R$10,"m")/12),0),0))</f>
        <v>5049.41666666667</v>
      </c>
      <c r="S18" s="323" t="n">
        <f aca="false">IF(OR($D18="",$E18="",NOT(ISNUMBER($D18))),"",IF(AND($E18&lt;=S$10,IF($F18="",$X$10,$F18)&gt;=S$10),$D18/12*(1+N($G18))^IF(AND(ISNUMBER($H18),S$10&gt;=$H18),1+INT(DATEDIF($H18,S$10,"m")/12),0),0))</f>
        <v>5049.41666666667</v>
      </c>
      <c r="T18" s="323" t="n">
        <f aca="false">IF(OR($D18="",$E18="",NOT(ISNUMBER($D18))),"",IF(AND($E18&lt;=T$10,IF($F18="",$X$10,$F18)&gt;=T$10),$D18/12*(1+N($G18))^IF(AND(ISNUMBER($H18),T$10&gt;=$H18),1+INT(DATEDIF($H18,T$10,"m")/12),0),0))</f>
        <v>5049.41666666667</v>
      </c>
      <c r="U18" s="323" t="n">
        <f aca="false">IF(OR($D18="",$E18="",NOT(ISNUMBER($D18))),"",IF(AND($E18&lt;=U$10,IF($F18="",$X$10,$F18)&gt;=U$10),$D18/12*(1+N($G18))^IF(AND(ISNUMBER($H18),U$10&gt;=$H18),1+INT(DATEDIF($H18,U$10,"m")/12),0),0))</f>
        <v>5049.41666666667</v>
      </c>
      <c r="V18" s="323" t="n">
        <f aca="false">IF(OR($D18="",$E18="",NOT(ISNUMBER($D18))),"",IF(AND($E18&lt;=V$10,IF($F18="",$X$10,$F18)&gt;=V$10),$D18/12*(1+N($G18))^IF(AND(ISNUMBER($H18),V$10&gt;=$H18),1+INT(DATEDIF($H18,V$10,"m")/12),0),0))</f>
        <v>5200.89916666667</v>
      </c>
      <c r="W18" s="323" t="n">
        <f aca="false">IF(OR($D18="",$E18="",NOT(ISNUMBER($D18))),"",IF(AND($E18&lt;=W$10,IF($F18="",$X$10,$F18)&gt;=W$10),$D18/12*(1+N($G18))^IF(AND(ISNUMBER($H18),W$10&gt;=$H18),1+INT(DATEDIF($H18,W$10,"m")/12),0),0))</f>
        <v>5200.89916666667</v>
      </c>
      <c r="X18" s="323" t="n">
        <f aca="false">IF(OR($D18="",$E18="",NOT(ISNUMBER($D18))),"",IF(AND($E18&lt;=X$10,IF($F18="",$X$10,$F18)&gt;=X$10),$D18/12*(1+N($G18))^IF(AND(ISNUMBER($H18),X$10&gt;=$H18),1+INT(DATEDIF($H18,X$10,"m")/12),0),0))</f>
        <v>5200.89916666667</v>
      </c>
      <c r="Y18" s="323"/>
      <c r="Z18" s="323" t="n">
        <f aca="false">SUM(M18:X18)</f>
        <v>61047.4475</v>
      </c>
      <c r="AB18" s="325" t="str">
        <f aca="false">IF($D18&amp;$E18="","",IF(AND($D18&lt;&gt;"",NOT(ISNUMBER($D18))),"Salary must be a number",IF(AND($D18&lt;&gt;"",$E18=""),"Start month missing",IF(AND(ISNUMBER($E18),ISNUMBER($F18),$F18&lt;$E18),"End is before Start",IF(AND($D18&lt;&gt;"",NOT(ISNUMBER($H18))),"Increase month missing","")))))</f>
        <v/>
      </c>
    </row>
    <row r="19" customFormat="false" ht="14.4" hidden="false" customHeight="false" outlineLevel="0" collapsed="false">
      <c r="B19" s="318" t="s">
        <v>3054</v>
      </c>
      <c r="C19" s="318" t="s">
        <v>3049</v>
      </c>
      <c r="D19" s="319" t="n">
        <v>53092</v>
      </c>
      <c r="E19" s="320" t="n">
        <v>46266</v>
      </c>
      <c r="F19" s="320" t="n">
        <v>46722</v>
      </c>
      <c r="G19" s="321" t="n">
        <v>0.03</v>
      </c>
      <c r="H19" s="322" t="n">
        <f aca="false">$D$8</f>
        <v>46661</v>
      </c>
      <c r="I19" s="323" t="n">
        <f aca="false">IF(OR($D19="",$E19="",NOT(ISNUMBER($D19))),"",IF(AND($E19&lt;=I$10,IF($F19="",$X$10,$F19)&gt;=I$10),$D19/12*(1+N($G19))^IF(AND(ISNUMBER($H19),I$10&gt;=$H19),1+INT(DATEDIF($H19,I$10,"m")/12),0),0))</f>
        <v>4424.33333333333</v>
      </c>
      <c r="J19" s="323" t="n">
        <f aca="false">IF(OR($D19="",$E19="",NOT(ISNUMBER($D19))),"",IF(AND($E19&lt;=J$10,IF($F19="",$X$10,$F19)&gt;=J$10),$D19/12*(1+N($G19))^IF(AND(ISNUMBER($H19),J$10&gt;=$H19),1+INT(DATEDIF($H19,J$10,"m")/12),0),0))</f>
        <v>4424.33333333333</v>
      </c>
      <c r="K19" s="323" t="n">
        <f aca="false">IF(OR($D19="",$E19="",NOT(ISNUMBER($D19))),"",IF(AND($E19&lt;=K$10,IF($F19="",$X$10,$F19)&gt;=K$10),$D19/12*(1+N($G19))^IF(AND(ISNUMBER($H19),K$10&gt;=$H19),1+INT(DATEDIF($H19,K$10,"m")/12),0),0))</f>
        <v>4424.33333333333</v>
      </c>
      <c r="L19" s="323" t="n">
        <f aca="false">IF(OR($D19="",$E19="",NOT(ISNUMBER($D19))),"",IF(AND($E19&lt;=L$10,IF($F19="",$X$10,$F19)&gt;=L$10),$D19/12*(1+N($G19))^IF(AND(ISNUMBER($H19),L$10&gt;=$H19),1+INT(DATEDIF($H19,L$10,"m")/12),0),0))</f>
        <v>4424.33333333333</v>
      </c>
      <c r="M19" s="323" t="n">
        <f aca="false">IF(OR($D19="",$E19="",NOT(ISNUMBER($D19))),"",IF(AND($E19&lt;=M$10,IF($F19="",$X$10,$F19)&gt;=M$10),$D19/12*(1+N($G19))^IF(AND(ISNUMBER($H19),M$10&gt;=$H19),1+INT(DATEDIF($H19,M$10,"m")/12),0),0))</f>
        <v>4424.33333333333</v>
      </c>
      <c r="N19" s="323" t="n">
        <f aca="false">IF(OR($D19="",$E19="",NOT(ISNUMBER($D19))),"",IF(AND($E19&lt;=N$10,IF($F19="",$X$10,$F19)&gt;=N$10),$D19/12*(1+N($G19))^IF(AND(ISNUMBER($H19),N$10&gt;=$H19),1+INT(DATEDIF($H19,N$10,"m")/12),0),0))</f>
        <v>4424.33333333333</v>
      </c>
      <c r="O19" s="323" t="n">
        <f aca="false">IF(OR($D19="",$E19="",NOT(ISNUMBER($D19))),"",IF(AND($E19&lt;=O$10,IF($F19="",$X$10,$F19)&gt;=O$10),$D19/12*(1+N($G19))^IF(AND(ISNUMBER($H19),O$10&gt;=$H19),1+INT(DATEDIF($H19,O$10,"m")/12),0),0))</f>
        <v>4424.33333333333</v>
      </c>
      <c r="P19" s="323" t="n">
        <f aca="false">IF(OR($D19="",$E19="",NOT(ISNUMBER($D19))),"",IF(AND($E19&lt;=P$10,IF($F19="",$X$10,$F19)&gt;=P$10),$D19/12*(1+N($G19))^IF(AND(ISNUMBER($H19),P$10&gt;=$H19),1+INT(DATEDIF($H19,P$10,"m")/12),0),0))</f>
        <v>4424.33333333333</v>
      </c>
      <c r="Q19" s="323" t="n">
        <f aca="false">IF(OR($D19="",$E19="",NOT(ISNUMBER($D19))),"",IF(AND($E19&lt;=Q$10,IF($F19="",$X$10,$F19)&gt;=Q$10),$D19/12*(1+N($G19))^IF(AND(ISNUMBER($H19),Q$10&gt;=$H19),1+INT(DATEDIF($H19,Q$10,"m")/12),0),0))</f>
        <v>4424.33333333333</v>
      </c>
      <c r="R19" s="323" t="n">
        <f aca="false">IF(OR($D19="",$E19="",NOT(ISNUMBER($D19))),"",IF(AND($E19&lt;=R$10,IF($F19="",$X$10,$F19)&gt;=R$10),$D19/12*(1+N($G19))^IF(AND(ISNUMBER($H19),R$10&gt;=$H19),1+INT(DATEDIF($H19,R$10,"m")/12),0),0))</f>
        <v>4424.33333333333</v>
      </c>
      <c r="S19" s="323" t="n">
        <f aca="false">IF(OR($D19="",$E19="",NOT(ISNUMBER($D19))),"",IF(AND($E19&lt;=S$10,IF($F19="",$X$10,$F19)&gt;=S$10),$D19/12*(1+N($G19))^IF(AND(ISNUMBER($H19),S$10&gt;=$H19),1+INT(DATEDIF($H19,S$10,"m")/12),0),0))</f>
        <v>4424.33333333333</v>
      </c>
      <c r="T19" s="323" t="n">
        <f aca="false">IF(OR($D19="",$E19="",NOT(ISNUMBER($D19))),"",IF(AND($E19&lt;=T$10,IF($F19="",$X$10,$F19)&gt;=T$10),$D19/12*(1+N($G19))^IF(AND(ISNUMBER($H19),T$10&gt;=$H19),1+INT(DATEDIF($H19,T$10,"m")/12),0),0))</f>
        <v>4424.33333333333</v>
      </c>
      <c r="U19" s="323" t="n">
        <f aca="false">IF(OR($D19="",$E19="",NOT(ISNUMBER($D19))),"",IF(AND($E19&lt;=U$10,IF($F19="",$X$10,$F19)&gt;=U$10),$D19/12*(1+N($G19))^IF(AND(ISNUMBER($H19),U$10&gt;=$H19),1+INT(DATEDIF($H19,U$10,"m")/12),0),0))</f>
        <v>4424.33333333333</v>
      </c>
      <c r="V19" s="323" t="n">
        <f aca="false">IF(OR($D19="",$E19="",NOT(ISNUMBER($D19))),"",IF(AND($E19&lt;=V$10,IF($F19="",$X$10,$F19)&gt;=V$10),$D19/12*(1+N($G19))^IF(AND(ISNUMBER($H19),V$10&gt;=$H19),1+INT(DATEDIF($H19,V$10,"m")/12),0),0))</f>
        <v>4557.06333333333</v>
      </c>
      <c r="W19" s="323" t="n">
        <f aca="false">IF(OR($D19="",$E19="",NOT(ISNUMBER($D19))),"",IF(AND($E19&lt;=W$10,IF($F19="",$X$10,$F19)&gt;=W$10),$D19/12*(1+N($G19))^IF(AND(ISNUMBER($H19),W$10&gt;=$H19),1+INT(DATEDIF($H19,W$10,"m")/12),0),0))</f>
        <v>4557.06333333333</v>
      </c>
      <c r="X19" s="323" t="n">
        <f aca="false">IF(OR($D19="",$E19="",NOT(ISNUMBER($D19))),"",IF(AND($E19&lt;=X$10,IF($F19="",$X$10,$F19)&gt;=X$10),$D19/12*(1+N($G19))^IF(AND(ISNUMBER($H19),X$10&gt;=$H19),1+INT(DATEDIF($H19,X$10,"m")/12),0),0))</f>
        <v>4557.06333333333</v>
      </c>
      <c r="Y19" s="323"/>
      <c r="Z19" s="323" t="n">
        <f aca="false">SUM(M19:X19)</f>
        <v>53490.19</v>
      </c>
      <c r="AB19" s="325" t="str">
        <f aca="false">IF($D19&amp;$E19="","",IF(AND($D19&lt;&gt;"",NOT(ISNUMBER($D19))),"Salary must be a number",IF(AND($D19&lt;&gt;"",$E19=""),"Start month missing",IF(AND(ISNUMBER($E19),ISNUMBER($F19),$F19&lt;$E19),"End is before Start",IF(AND($D19&lt;&gt;"",NOT(ISNUMBER($H19))),"Increase month missing","")))))</f>
        <v/>
      </c>
    </row>
    <row r="20" customFormat="false" ht="14.4" hidden="false" customHeight="false" outlineLevel="0" collapsed="false">
      <c r="B20" s="318" t="s">
        <v>3055</v>
      </c>
      <c r="C20" s="318" t="s">
        <v>3049</v>
      </c>
      <c r="D20" s="319" t="n">
        <v>59032</v>
      </c>
      <c r="E20" s="320" t="n">
        <v>46266</v>
      </c>
      <c r="F20" s="320" t="n">
        <v>46722</v>
      </c>
      <c r="G20" s="321" t="n">
        <v>0.03</v>
      </c>
      <c r="H20" s="322" t="n">
        <f aca="false">$D$8</f>
        <v>46661</v>
      </c>
      <c r="I20" s="323" t="n">
        <f aca="false">IF(OR($D20="",$E20="",NOT(ISNUMBER($D20))),"",IF(AND($E20&lt;=I$10,IF($F20="",$X$10,$F20)&gt;=I$10),$D20/12*(1+N($G20))^IF(AND(ISNUMBER($H20),I$10&gt;=$H20),1+INT(DATEDIF($H20,I$10,"m")/12),0),0))</f>
        <v>4919.33333333333</v>
      </c>
      <c r="J20" s="323" t="n">
        <f aca="false">IF(OR($D20="",$E20="",NOT(ISNUMBER($D20))),"",IF(AND($E20&lt;=J$10,IF($F20="",$X$10,$F20)&gt;=J$10),$D20/12*(1+N($G20))^IF(AND(ISNUMBER($H20),J$10&gt;=$H20),1+INT(DATEDIF($H20,J$10,"m")/12),0),0))</f>
        <v>4919.33333333333</v>
      </c>
      <c r="K20" s="323" t="n">
        <f aca="false">IF(OR($D20="",$E20="",NOT(ISNUMBER($D20))),"",IF(AND($E20&lt;=K$10,IF($F20="",$X$10,$F20)&gt;=K$10),$D20/12*(1+N($G20))^IF(AND(ISNUMBER($H20),K$10&gt;=$H20),1+INT(DATEDIF($H20,K$10,"m")/12),0),0))</f>
        <v>4919.33333333333</v>
      </c>
      <c r="L20" s="323" t="n">
        <f aca="false">IF(OR($D20="",$E20="",NOT(ISNUMBER($D20))),"",IF(AND($E20&lt;=L$10,IF($F20="",$X$10,$F20)&gt;=L$10),$D20/12*(1+N($G20))^IF(AND(ISNUMBER($H20),L$10&gt;=$H20),1+INT(DATEDIF($H20,L$10,"m")/12),0),0))</f>
        <v>4919.33333333333</v>
      </c>
      <c r="M20" s="323" t="n">
        <f aca="false">IF(OR($D20="",$E20="",NOT(ISNUMBER($D20))),"",IF(AND($E20&lt;=M$10,IF($F20="",$X$10,$F20)&gt;=M$10),$D20/12*(1+N($G20))^IF(AND(ISNUMBER($H20),M$10&gt;=$H20),1+INT(DATEDIF($H20,M$10,"m")/12),0),0))</f>
        <v>4919.33333333333</v>
      </c>
      <c r="N20" s="323" t="n">
        <f aca="false">IF(OR($D20="",$E20="",NOT(ISNUMBER($D20))),"",IF(AND($E20&lt;=N$10,IF($F20="",$X$10,$F20)&gt;=N$10),$D20/12*(1+N($G20))^IF(AND(ISNUMBER($H20),N$10&gt;=$H20),1+INT(DATEDIF($H20,N$10,"m")/12),0),0))</f>
        <v>4919.33333333333</v>
      </c>
      <c r="O20" s="323" t="n">
        <f aca="false">IF(OR($D20="",$E20="",NOT(ISNUMBER($D20))),"",IF(AND($E20&lt;=O$10,IF($F20="",$X$10,$F20)&gt;=O$10),$D20/12*(1+N($G20))^IF(AND(ISNUMBER($H20),O$10&gt;=$H20),1+INT(DATEDIF($H20,O$10,"m")/12),0),0))</f>
        <v>4919.33333333333</v>
      </c>
      <c r="P20" s="323" t="n">
        <f aca="false">IF(OR($D20="",$E20="",NOT(ISNUMBER($D20))),"",IF(AND($E20&lt;=P$10,IF($F20="",$X$10,$F20)&gt;=P$10),$D20/12*(1+N($G20))^IF(AND(ISNUMBER($H20),P$10&gt;=$H20),1+INT(DATEDIF($H20,P$10,"m")/12),0),0))</f>
        <v>4919.33333333333</v>
      </c>
      <c r="Q20" s="323" t="n">
        <f aca="false">IF(OR($D20="",$E20="",NOT(ISNUMBER($D20))),"",IF(AND($E20&lt;=Q$10,IF($F20="",$X$10,$F20)&gt;=Q$10),$D20/12*(1+N($G20))^IF(AND(ISNUMBER($H20),Q$10&gt;=$H20),1+INT(DATEDIF($H20,Q$10,"m")/12),0),0))</f>
        <v>4919.33333333333</v>
      </c>
      <c r="R20" s="323" t="n">
        <f aca="false">IF(OR($D20="",$E20="",NOT(ISNUMBER($D20))),"",IF(AND($E20&lt;=R$10,IF($F20="",$X$10,$F20)&gt;=R$10),$D20/12*(1+N($G20))^IF(AND(ISNUMBER($H20),R$10&gt;=$H20),1+INT(DATEDIF($H20,R$10,"m")/12),0),0))</f>
        <v>4919.33333333333</v>
      </c>
      <c r="S20" s="323" t="n">
        <f aca="false">IF(OR($D20="",$E20="",NOT(ISNUMBER($D20))),"",IF(AND($E20&lt;=S$10,IF($F20="",$X$10,$F20)&gt;=S$10),$D20/12*(1+N($G20))^IF(AND(ISNUMBER($H20),S$10&gt;=$H20),1+INT(DATEDIF($H20,S$10,"m")/12),0),0))</f>
        <v>4919.33333333333</v>
      </c>
      <c r="T20" s="323" t="n">
        <f aca="false">IF(OR($D20="",$E20="",NOT(ISNUMBER($D20))),"",IF(AND($E20&lt;=T$10,IF($F20="",$X$10,$F20)&gt;=T$10),$D20/12*(1+N($G20))^IF(AND(ISNUMBER($H20),T$10&gt;=$H20),1+INT(DATEDIF($H20,T$10,"m")/12),0),0))</f>
        <v>4919.33333333333</v>
      </c>
      <c r="U20" s="323" t="n">
        <f aca="false">IF(OR($D20="",$E20="",NOT(ISNUMBER($D20))),"",IF(AND($E20&lt;=U$10,IF($F20="",$X$10,$F20)&gt;=U$10),$D20/12*(1+N($G20))^IF(AND(ISNUMBER($H20),U$10&gt;=$H20),1+INT(DATEDIF($H20,U$10,"m")/12),0),0))</f>
        <v>4919.33333333333</v>
      </c>
      <c r="V20" s="323" t="n">
        <f aca="false">IF(OR($D20="",$E20="",NOT(ISNUMBER($D20))),"",IF(AND($E20&lt;=V$10,IF($F20="",$X$10,$F20)&gt;=V$10),$D20/12*(1+N($G20))^IF(AND(ISNUMBER($H20),V$10&gt;=$H20),1+INT(DATEDIF($H20,V$10,"m")/12),0),0))</f>
        <v>5066.91333333333</v>
      </c>
      <c r="W20" s="323" t="n">
        <f aca="false">IF(OR($D20="",$E20="",NOT(ISNUMBER($D20))),"",IF(AND($E20&lt;=W$10,IF($F20="",$X$10,$F20)&gt;=W$10),$D20/12*(1+N($G20))^IF(AND(ISNUMBER($H20),W$10&gt;=$H20),1+INT(DATEDIF($H20,W$10,"m")/12),0),0))</f>
        <v>5066.91333333333</v>
      </c>
      <c r="X20" s="323" t="n">
        <f aca="false">IF(OR($D20="",$E20="",NOT(ISNUMBER($D20))),"",IF(AND($E20&lt;=X$10,IF($F20="",$X$10,$F20)&gt;=X$10),$D20/12*(1+N($G20))^IF(AND(ISNUMBER($H20),X$10&gt;=$H20),1+INT(DATEDIF($H20,X$10,"m")/12),0),0))</f>
        <v>5066.91333333333</v>
      </c>
      <c r="Y20" s="323"/>
      <c r="Z20" s="323" t="n">
        <f aca="false">SUM(M20:X20)</f>
        <v>59474.74</v>
      </c>
      <c r="AB20" s="325" t="str">
        <f aca="false">IF($D20&amp;$E20="","",IF(AND($D20&lt;&gt;"",NOT(ISNUMBER($D20))),"Salary must be a number",IF(AND($D20&lt;&gt;"",$E20=""),"Start month missing",IF(AND(ISNUMBER($E20),ISNUMBER($F20),$F20&lt;$E20),"End is before Start",IF(AND($D20&lt;&gt;"",NOT(ISNUMBER($H20))),"Increase month missing","")))))</f>
        <v/>
      </c>
    </row>
    <row r="21" customFormat="false" ht="14.4" hidden="false" customHeight="false" outlineLevel="0" collapsed="false">
      <c r="B21" s="318" t="s">
        <v>3056</v>
      </c>
      <c r="C21" s="318" t="s">
        <v>3057</v>
      </c>
      <c r="D21" s="319" t="n">
        <v>76515</v>
      </c>
      <c r="E21" s="320" t="n">
        <v>46266</v>
      </c>
      <c r="F21" s="320" t="n">
        <v>46722</v>
      </c>
      <c r="G21" s="321" t="n">
        <v>0.03</v>
      </c>
      <c r="H21" s="322" t="n">
        <f aca="false">$D$8</f>
        <v>46661</v>
      </c>
      <c r="I21" s="323" t="n">
        <f aca="false">IF(OR($D21="",$E21="",NOT(ISNUMBER($D21))),"",IF(AND($E21&lt;=I$10,IF($F21="",$X$10,$F21)&gt;=I$10),$D21/12*(1+N($G21))^IF(AND(ISNUMBER($H21),I$10&gt;=$H21),1+INT(DATEDIF($H21,I$10,"m")/12),0),0))</f>
        <v>6376.25</v>
      </c>
      <c r="J21" s="323" t="n">
        <f aca="false">IF(OR($D21="",$E21="",NOT(ISNUMBER($D21))),"",IF(AND($E21&lt;=J$10,IF($F21="",$X$10,$F21)&gt;=J$10),$D21/12*(1+N($G21))^IF(AND(ISNUMBER($H21),J$10&gt;=$H21),1+INT(DATEDIF($H21,J$10,"m")/12),0),0))</f>
        <v>6376.25</v>
      </c>
      <c r="K21" s="323" t="n">
        <f aca="false">IF(OR($D21="",$E21="",NOT(ISNUMBER($D21))),"",IF(AND($E21&lt;=K$10,IF($F21="",$X$10,$F21)&gt;=K$10),$D21/12*(1+N($G21))^IF(AND(ISNUMBER($H21),K$10&gt;=$H21),1+INT(DATEDIF($H21,K$10,"m")/12),0),0))</f>
        <v>6376.25</v>
      </c>
      <c r="L21" s="323" t="n">
        <f aca="false">IF(OR($D21="",$E21="",NOT(ISNUMBER($D21))),"",IF(AND($E21&lt;=L$10,IF($F21="",$X$10,$F21)&gt;=L$10),$D21/12*(1+N($G21))^IF(AND(ISNUMBER($H21),L$10&gt;=$H21),1+INT(DATEDIF($H21,L$10,"m")/12),0),0))</f>
        <v>6376.25</v>
      </c>
      <c r="M21" s="323" t="n">
        <f aca="false">IF(OR($D21="",$E21="",NOT(ISNUMBER($D21))),"",IF(AND($E21&lt;=M$10,IF($F21="",$X$10,$F21)&gt;=M$10),$D21/12*(1+N($G21))^IF(AND(ISNUMBER($H21),M$10&gt;=$H21),1+INT(DATEDIF($H21,M$10,"m")/12),0),0))</f>
        <v>6376.25</v>
      </c>
      <c r="N21" s="323" t="n">
        <f aca="false">IF(OR($D21="",$E21="",NOT(ISNUMBER($D21))),"",IF(AND($E21&lt;=N$10,IF($F21="",$X$10,$F21)&gt;=N$10),$D21/12*(1+N($G21))^IF(AND(ISNUMBER($H21),N$10&gt;=$H21),1+INT(DATEDIF($H21,N$10,"m")/12),0),0))</f>
        <v>6376.25</v>
      </c>
      <c r="O21" s="323" t="n">
        <f aca="false">IF(OR($D21="",$E21="",NOT(ISNUMBER($D21))),"",IF(AND($E21&lt;=O$10,IF($F21="",$X$10,$F21)&gt;=O$10),$D21/12*(1+N($G21))^IF(AND(ISNUMBER($H21),O$10&gt;=$H21),1+INT(DATEDIF($H21,O$10,"m")/12),0),0))</f>
        <v>6376.25</v>
      </c>
      <c r="P21" s="323" t="n">
        <f aca="false">IF(OR($D21="",$E21="",NOT(ISNUMBER($D21))),"",IF(AND($E21&lt;=P$10,IF($F21="",$X$10,$F21)&gt;=P$10),$D21/12*(1+N($G21))^IF(AND(ISNUMBER($H21),P$10&gt;=$H21),1+INT(DATEDIF($H21,P$10,"m")/12),0),0))</f>
        <v>6376.25</v>
      </c>
      <c r="Q21" s="323" t="n">
        <f aca="false">IF(OR($D21="",$E21="",NOT(ISNUMBER($D21))),"",IF(AND($E21&lt;=Q$10,IF($F21="",$X$10,$F21)&gt;=Q$10),$D21/12*(1+N($G21))^IF(AND(ISNUMBER($H21),Q$10&gt;=$H21),1+INT(DATEDIF($H21,Q$10,"m")/12),0),0))</f>
        <v>6376.25</v>
      </c>
      <c r="R21" s="323" t="n">
        <f aca="false">IF(OR($D21="",$E21="",NOT(ISNUMBER($D21))),"",IF(AND($E21&lt;=R$10,IF($F21="",$X$10,$F21)&gt;=R$10),$D21/12*(1+N($G21))^IF(AND(ISNUMBER($H21),R$10&gt;=$H21),1+INT(DATEDIF($H21,R$10,"m")/12),0),0))</f>
        <v>6376.25</v>
      </c>
      <c r="S21" s="323" t="n">
        <f aca="false">IF(OR($D21="",$E21="",NOT(ISNUMBER($D21))),"",IF(AND($E21&lt;=S$10,IF($F21="",$X$10,$F21)&gt;=S$10),$D21/12*(1+N($G21))^IF(AND(ISNUMBER($H21),S$10&gt;=$H21),1+INT(DATEDIF($H21,S$10,"m")/12),0),0))</f>
        <v>6376.25</v>
      </c>
      <c r="T21" s="323" t="n">
        <f aca="false">IF(OR($D21="",$E21="",NOT(ISNUMBER($D21))),"",IF(AND($E21&lt;=T$10,IF($F21="",$X$10,$F21)&gt;=T$10),$D21/12*(1+N($G21))^IF(AND(ISNUMBER($H21),T$10&gt;=$H21),1+INT(DATEDIF($H21,T$10,"m")/12),0),0))</f>
        <v>6376.25</v>
      </c>
      <c r="U21" s="323" t="n">
        <f aca="false">IF(OR($D21="",$E21="",NOT(ISNUMBER($D21))),"",IF(AND($E21&lt;=U$10,IF($F21="",$X$10,$F21)&gt;=U$10),$D21/12*(1+N($G21))^IF(AND(ISNUMBER($H21),U$10&gt;=$H21),1+INT(DATEDIF($H21,U$10,"m")/12),0),0))</f>
        <v>6376.25</v>
      </c>
      <c r="V21" s="323" t="n">
        <f aca="false">IF(OR($D21="",$E21="",NOT(ISNUMBER($D21))),"",IF(AND($E21&lt;=V$10,IF($F21="",$X$10,$F21)&gt;=V$10),$D21/12*(1+N($G21))^IF(AND(ISNUMBER($H21),V$10&gt;=$H21),1+INT(DATEDIF($H21,V$10,"m")/12),0),0))</f>
        <v>6567.5375</v>
      </c>
      <c r="W21" s="323" t="n">
        <f aca="false">IF(OR($D21="",$E21="",NOT(ISNUMBER($D21))),"",IF(AND($E21&lt;=W$10,IF($F21="",$X$10,$F21)&gt;=W$10),$D21/12*(1+N($G21))^IF(AND(ISNUMBER($H21),W$10&gt;=$H21),1+INT(DATEDIF($H21,W$10,"m")/12),0),0))</f>
        <v>6567.5375</v>
      </c>
      <c r="X21" s="323" t="n">
        <f aca="false">IF(OR($D21="",$E21="",NOT(ISNUMBER($D21))),"",IF(AND($E21&lt;=X$10,IF($F21="",$X$10,$F21)&gt;=X$10),$D21/12*(1+N($G21))^IF(AND(ISNUMBER($H21),X$10&gt;=$H21),1+INT(DATEDIF($H21,X$10,"m")/12),0),0))</f>
        <v>6567.5375</v>
      </c>
      <c r="Y21" s="323"/>
      <c r="Z21" s="323" t="n">
        <f aca="false">SUM(M21:X21)</f>
        <v>77088.8625</v>
      </c>
      <c r="AB21" s="325" t="str">
        <f aca="false">IF($D21&amp;$E21="","",IF(AND($D21&lt;&gt;"",NOT(ISNUMBER($D21))),"Salary must be a number",IF(AND($D21&lt;&gt;"",$E21=""),"Start month missing",IF(AND(ISNUMBER($E21),ISNUMBER($F21),$F21&lt;$E21),"End is before Start",IF(AND($D21&lt;&gt;"",NOT(ISNUMBER($H21))),"Increase month missing","")))))</f>
        <v/>
      </c>
    </row>
    <row r="22" customFormat="false" ht="14.4" hidden="false" customHeight="false" outlineLevel="0" collapsed="false">
      <c r="B22" s="318" t="s">
        <v>3058</v>
      </c>
      <c r="C22" s="318" t="s">
        <v>3049</v>
      </c>
      <c r="D22" s="319" t="n">
        <v>64522</v>
      </c>
      <c r="E22" s="320" t="n">
        <v>46266</v>
      </c>
      <c r="F22" s="320" t="n">
        <v>46722</v>
      </c>
      <c r="G22" s="321" t="n">
        <v>0.03</v>
      </c>
      <c r="H22" s="322" t="n">
        <f aca="false">$D$8</f>
        <v>46661</v>
      </c>
      <c r="I22" s="323" t="n">
        <f aca="false">IF(OR($D22="",$E22="",NOT(ISNUMBER($D22))),"",IF(AND($E22&lt;=I$10,IF($F22="",$X$10,$F22)&gt;=I$10),$D22/12*(1+N($G22))^IF(AND(ISNUMBER($H22),I$10&gt;=$H22),1+INT(DATEDIF($H22,I$10,"m")/12),0),0))</f>
        <v>5376.83333333333</v>
      </c>
      <c r="J22" s="323" t="n">
        <f aca="false">IF(OR($D22="",$E22="",NOT(ISNUMBER($D22))),"",IF(AND($E22&lt;=J$10,IF($F22="",$X$10,$F22)&gt;=J$10),$D22/12*(1+N($G22))^IF(AND(ISNUMBER($H22),J$10&gt;=$H22),1+INT(DATEDIF($H22,J$10,"m")/12),0),0))</f>
        <v>5376.83333333333</v>
      </c>
      <c r="K22" s="323" t="n">
        <f aca="false">IF(OR($D22="",$E22="",NOT(ISNUMBER($D22))),"",IF(AND($E22&lt;=K$10,IF($F22="",$X$10,$F22)&gt;=K$10),$D22/12*(1+N($G22))^IF(AND(ISNUMBER($H22),K$10&gt;=$H22),1+INT(DATEDIF($H22,K$10,"m")/12),0),0))</f>
        <v>5376.83333333333</v>
      </c>
      <c r="L22" s="323" t="n">
        <f aca="false">IF(OR($D22="",$E22="",NOT(ISNUMBER($D22))),"",IF(AND($E22&lt;=L$10,IF($F22="",$X$10,$F22)&gt;=L$10),$D22/12*(1+N($G22))^IF(AND(ISNUMBER($H22),L$10&gt;=$H22),1+INT(DATEDIF($H22,L$10,"m")/12),0),0))</f>
        <v>5376.83333333333</v>
      </c>
      <c r="M22" s="323" t="n">
        <f aca="false">IF(OR($D22="",$E22="",NOT(ISNUMBER($D22))),"",IF(AND($E22&lt;=M$10,IF($F22="",$X$10,$F22)&gt;=M$10),$D22/12*(1+N($G22))^IF(AND(ISNUMBER($H22),M$10&gt;=$H22),1+INT(DATEDIF($H22,M$10,"m")/12),0),0))</f>
        <v>5376.83333333333</v>
      </c>
      <c r="N22" s="323" t="n">
        <f aca="false">IF(OR($D22="",$E22="",NOT(ISNUMBER($D22))),"",IF(AND($E22&lt;=N$10,IF($F22="",$X$10,$F22)&gt;=N$10),$D22/12*(1+N($G22))^IF(AND(ISNUMBER($H22),N$10&gt;=$H22),1+INT(DATEDIF($H22,N$10,"m")/12),0),0))</f>
        <v>5376.83333333333</v>
      </c>
      <c r="O22" s="323" t="n">
        <f aca="false">IF(OR($D22="",$E22="",NOT(ISNUMBER($D22))),"",IF(AND($E22&lt;=O$10,IF($F22="",$X$10,$F22)&gt;=O$10),$D22/12*(1+N($G22))^IF(AND(ISNUMBER($H22),O$10&gt;=$H22),1+INT(DATEDIF($H22,O$10,"m")/12),0),0))</f>
        <v>5376.83333333333</v>
      </c>
      <c r="P22" s="323" t="n">
        <f aca="false">IF(OR($D22="",$E22="",NOT(ISNUMBER($D22))),"",IF(AND($E22&lt;=P$10,IF($F22="",$X$10,$F22)&gt;=P$10),$D22/12*(1+N($G22))^IF(AND(ISNUMBER($H22),P$10&gt;=$H22),1+INT(DATEDIF($H22,P$10,"m")/12),0),0))</f>
        <v>5376.83333333333</v>
      </c>
      <c r="Q22" s="323" t="n">
        <f aca="false">IF(OR($D22="",$E22="",NOT(ISNUMBER($D22))),"",IF(AND($E22&lt;=Q$10,IF($F22="",$X$10,$F22)&gt;=Q$10),$D22/12*(1+N($G22))^IF(AND(ISNUMBER($H22),Q$10&gt;=$H22),1+INT(DATEDIF($H22,Q$10,"m")/12),0),0))</f>
        <v>5376.83333333333</v>
      </c>
      <c r="R22" s="323" t="n">
        <f aca="false">IF(OR($D22="",$E22="",NOT(ISNUMBER($D22))),"",IF(AND($E22&lt;=R$10,IF($F22="",$X$10,$F22)&gt;=R$10),$D22/12*(1+N($G22))^IF(AND(ISNUMBER($H22),R$10&gt;=$H22),1+INT(DATEDIF($H22,R$10,"m")/12),0),0))</f>
        <v>5376.83333333333</v>
      </c>
      <c r="S22" s="323" t="n">
        <f aca="false">IF(OR($D22="",$E22="",NOT(ISNUMBER($D22))),"",IF(AND($E22&lt;=S$10,IF($F22="",$X$10,$F22)&gt;=S$10),$D22/12*(1+N($G22))^IF(AND(ISNUMBER($H22),S$10&gt;=$H22),1+INT(DATEDIF($H22,S$10,"m")/12),0),0))</f>
        <v>5376.83333333333</v>
      </c>
      <c r="T22" s="323" t="n">
        <f aca="false">IF(OR($D22="",$E22="",NOT(ISNUMBER($D22))),"",IF(AND($E22&lt;=T$10,IF($F22="",$X$10,$F22)&gt;=T$10),$D22/12*(1+N($G22))^IF(AND(ISNUMBER($H22),T$10&gt;=$H22),1+INT(DATEDIF($H22,T$10,"m")/12),0),0))</f>
        <v>5376.83333333333</v>
      </c>
      <c r="U22" s="323" t="n">
        <f aca="false">IF(OR($D22="",$E22="",NOT(ISNUMBER($D22))),"",IF(AND($E22&lt;=U$10,IF($F22="",$X$10,$F22)&gt;=U$10),$D22/12*(1+N($G22))^IF(AND(ISNUMBER($H22),U$10&gt;=$H22),1+INT(DATEDIF($H22,U$10,"m")/12),0),0))</f>
        <v>5376.83333333333</v>
      </c>
      <c r="V22" s="323" t="n">
        <f aca="false">IF(OR($D22="",$E22="",NOT(ISNUMBER($D22))),"",IF(AND($E22&lt;=V$10,IF($F22="",$X$10,$F22)&gt;=V$10),$D22/12*(1+N($G22))^IF(AND(ISNUMBER($H22),V$10&gt;=$H22),1+INT(DATEDIF($H22,V$10,"m")/12),0),0))</f>
        <v>5538.13833333333</v>
      </c>
      <c r="W22" s="323" t="n">
        <f aca="false">IF(OR($D22="",$E22="",NOT(ISNUMBER($D22))),"",IF(AND($E22&lt;=W$10,IF($F22="",$X$10,$F22)&gt;=W$10),$D22/12*(1+N($G22))^IF(AND(ISNUMBER($H22),W$10&gt;=$H22),1+INT(DATEDIF($H22,W$10,"m")/12),0),0))</f>
        <v>5538.13833333333</v>
      </c>
      <c r="X22" s="323" t="n">
        <f aca="false">IF(OR($D22="",$E22="",NOT(ISNUMBER($D22))),"",IF(AND($E22&lt;=X$10,IF($F22="",$X$10,$F22)&gt;=X$10),$D22/12*(1+N($G22))^IF(AND(ISNUMBER($H22),X$10&gt;=$H22),1+INT(DATEDIF($H22,X$10,"m")/12),0),0))</f>
        <v>5538.13833333333</v>
      </c>
      <c r="Y22" s="323"/>
      <c r="Z22" s="323" t="n">
        <f aca="false">SUM(M22:X22)</f>
        <v>65005.915</v>
      </c>
      <c r="AB22" s="325" t="str">
        <f aca="false">IF($D22&amp;$E22="","",IF(AND($D22&lt;&gt;"",NOT(ISNUMBER($D22))),"Salary must be a number",IF(AND($D22&lt;&gt;"",$E22=""),"Start month missing",IF(AND(ISNUMBER($E22),ISNUMBER($F22),$F22&lt;$E22),"End is before Start",IF(AND($D22&lt;&gt;"",NOT(ISNUMBER($H22))),"Increase month missing","")))))</f>
        <v/>
      </c>
    </row>
    <row r="23" customFormat="false" ht="14.4" hidden="false" customHeight="false" outlineLevel="0" collapsed="false">
      <c r="B23" s="318" t="s">
        <v>3059</v>
      </c>
      <c r="C23" s="318" t="s">
        <v>3049</v>
      </c>
      <c r="D23" s="319" t="n">
        <v>49920</v>
      </c>
      <c r="E23" s="320" t="n">
        <v>46266</v>
      </c>
      <c r="F23" s="320" t="n">
        <v>46722</v>
      </c>
      <c r="G23" s="321" t="n">
        <v>0.03</v>
      </c>
      <c r="H23" s="322" t="n">
        <f aca="false">$D$8</f>
        <v>46661</v>
      </c>
      <c r="I23" s="323" t="n">
        <f aca="false">IF(OR($D23="",$E23="",NOT(ISNUMBER($D23))),"",IF(AND($E23&lt;=I$10,IF($F23="",$X$10,$F23)&gt;=I$10),$D23/12*(1+N($G23))^IF(AND(ISNUMBER($H23),I$10&gt;=$H23),1+INT(DATEDIF($H23,I$10,"m")/12),0),0))</f>
        <v>4160</v>
      </c>
      <c r="J23" s="323" t="n">
        <f aca="false">IF(OR($D23="",$E23="",NOT(ISNUMBER($D23))),"",IF(AND($E23&lt;=J$10,IF($F23="",$X$10,$F23)&gt;=J$10),$D23/12*(1+N($G23))^IF(AND(ISNUMBER($H23),J$10&gt;=$H23),1+INT(DATEDIF($H23,J$10,"m")/12),0),0))</f>
        <v>4160</v>
      </c>
      <c r="K23" s="323" t="n">
        <f aca="false">IF(OR($D23="",$E23="",NOT(ISNUMBER($D23))),"",IF(AND($E23&lt;=K$10,IF($F23="",$X$10,$F23)&gt;=K$10),$D23/12*(1+N($G23))^IF(AND(ISNUMBER($H23),K$10&gt;=$H23),1+INT(DATEDIF($H23,K$10,"m")/12),0),0))</f>
        <v>4160</v>
      </c>
      <c r="L23" s="323" t="n">
        <f aca="false">IF(OR($D23="",$E23="",NOT(ISNUMBER($D23))),"",IF(AND($E23&lt;=L$10,IF($F23="",$X$10,$F23)&gt;=L$10),$D23/12*(1+N($G23))^IF(AND(ISNUMBER($H23),L$10&gt;=$H23),1+INT(DATEDIF($H23,L$10,"m")/12),0),0))</f>
        <v>4160</v>
      </c>
      <c r="M23" s="323" t="n">
        <f aca="false">IF(OR($D23="",$E23="",NOT(ISNUMBER($D23))),"",IF(AND($E23&lt;=M$10,IF($F23="",$X$10,$F23)&gt;=M$10),$D23/12*(1+N($G23))^IF(AND(ISNUMBER($H23),M$10&gt;=$H23),1+INT(DATEDIF($H23,M$10,"m")/12),0),0))</f>
        <v>4160</v>
      </c>
      <c r="N23" s="323" t="n">
        <f aca="false">IF(OR($D23="",$E23="",NOT(ISNUMBER($D23))),"",IF(AND($E23&lt;=N$10,IF($F23="",$X$10,$F23)&gt;=N$10),$D23/12*(1+N($G23))^IF(AND(ISNUMBER($H23),N$10&gt;=$H23),1+INT(DATEDIF($H23,N$10,"m")/12),0),0))</f>
        <v>4160</v>
      </c>
      <c r="O23" s="323" t="n">
        <f aca="false">IF(OR($D23="",$E23="",NOT(ISNUMBER($D23))),"",IF(AND($E23&lt;=O$10,IF($F23="",$X$10,$F23)&gt;=O$10),$D23/12*(1+N($G23))^IF(AND(ISNUMBER($H23),O$10&gt;=$H23),1+INT(DATEDIF($H23,O$10,"m")/12),0),0))</f>
        <v>4160</v>
      </c>
      <c r="P23" s="323" t="n">
        <f aca="false">IF(OR($D23="",$E23="",NOT(ISNUMBER($D23))),"",IF(AND($E23&lt;=P$10,IF($F23="",$X$10,$F23)&gt;=P$10),$D23/12*(1+N($G23))^IF(AND(ISNUMBER($H23),P$10&gt;=$H23),1+INT(DATEDIF($H23,P$10,"m")/12),0),0))</f>
        <v>4160</v>
      </c>
      <c r="Q23" s="323" t="n">
        <f aca="false">IF(OR($D23="",$E23="",NOT(ISNUMBER($D23))),"",IF(AND($E23&lt;=Q$10,IF($F23="",$X$10,$F23)&gt;=Q$10),$D23/12*(1+N($G23))^IF(AND(ISNUMBER($H23),Q$10&gt;=$H23),1+INT(DATEDIF($H23,Q$10,"m")/12),0),0))</f>
        <v>4160</v>
      </c>
      <c r="R23" s="323" t="n">
        <f aca="false">IF(OR($D23="",$E23="",NOT(ISNUMBER($D23))),"",IF(AND($E23&lt;=R$10,IF($F23="",$X$10,$F23)&gt;=R$10),$D23/12*(1+N($G23))^IF(AND(ISNUMBER($H23),R$10&gt;=$H23),1+INT(DATEDIF($H23,R$10,"m")/12),0),0))</f>
        <v>4160</v>
      </c>
      <c r="S23" s="323" t="n">
        <f aca="false">IF(OR($D23="",$E23="",NOT(ISNUMBER($D23))),"",IF(AND($E23&lt;=S$10,IF($F23="",$X$10,$F23)&gt;=S$10),$D23/12*(1+N($G23))^IF(AND(ISNUMBER($H23),S$10&gt;=$H23),1+INT(DATEDIF($H23,S$10,"m")/12),0),0))</f>
        <v>4160</v>
      </c>
      <c r="T23" s="323" t="n">
        <f aca="false">IF(OR($D23="",$E23="",NOT(ISNUMBER($D23))),"",IF(AND($E23&lt;=T$10,IF($F23="",$X$10,$F23)&gt;=T$10),$D23/12*(1+N($G23))^IF(AND(ISNUMBER($H23),T$10&gt;=$H23),1+INT(DATEDIF($H23,T$10,"m")/12),0),0))</f>
        <v>4160</v>
      </c>
      <c r="U23" s="323" t="n">
        <f aca="false">IF(OR($D23="",$E23="",NOT(ISNUMBER($D23))),"",IF(AND($E23&lt;=U$10,IF($F23="",$X$10,$F23)&gt;=U$10),$D23/12*(1+N($G23))^IF(AND(ISNUMBER($H23),U$10&gt;=$H23),1+INT(DATEDIF($H23,U$10,"m")/12),0),0))</f>
        <v>4160</v>
      </c>
      <c r="V23" s="323" t="n">
        <f aca="false">IF(OR($D23="",$E23="",NOT(ISNUMBER($D23))),"",IF(AND($E23&lt;=V$10,IF($F23="",$X$10,$F23)&gt;=V$10),$D23/12*(1+N($G23))^IF(AND(ISNUMBER($H23),V$10&gt;=$H23),1+INT(DATEDIF($H23,V$10,"m")/12),0),0))</f>
        <v>4284.8</v>
      </c>
      <c r="W23" s="323" t="n">
        <f aca="false">IF(OR($D23="",$E23="",NOT(ISNUMBER($D23))),"",IF(AND($E23&lt;=W$10,IF($F23="",$X$10,$F23)&gt;=W$10),$D23/12*(1+N($G23))^IF(AND(ISNUMBER($H23),W$10&gt;=$H23),1+INT(DATEDIF($H23,W$10,"m")/12),0),0))</f>
        <v>4284.8</v>
      </c>
      <c r="X23" s="323" t="n">
        <f aca="false">IF(OR($D23="",$E23="",NOT(ISNUMBER($D23))),"",IF(AND($E23&lt;=X$10,IF($F23="",$X$10,$F23)&gt;=X$10),$D23/12*(1+N($G23))^IF(AND(ISNUMBER($H23),X$10&gt;=$H23),1+INT(DATEDIF($H23,X$10,"m")/12),0),0))</f>
        <v>4284.8</v>
      </c>
      <c r="Y23" s="323"/>
      <c r="Z23" s="323" t="n">
        <f aca="false">SUM(M23:X23)</f>
        <v>50294.4</v>
      </c>
      <c r="AB23" s="325" t="str">
        <f aca="false">IF($D23&amp;$E23="","",IF(AND($D23&lt;&gt;"",NOT(ISNUMBER($D23))),"Salary must be a number",IF(AND($D23&lt;&gt;"",$E23=""),"Start month missing",IF(AND(ISNUMBER($E23),ISNUMBER($F23),$F23&lt;$E23),"End is before Start",IF(AND($D23&lt;&gt;"",NOT(ISNUMBER($H23))),"Increase month missing","")))))</f>
        <v/>
      </c>
    </row>
    <row r="24" customFormat="false" ht="14.4" hidden="false" customHeight="false" outlineLevel="0" collapsed="false">
      <c r="B24" s="318" t="s">
        <v>3060</v>
      </c>
      <c r="C24" s="318" t="s">
        <v>3049</v>
      </c>
      <c r="D24" s="319" t="n">
        <v>70720</v>
      </c>
      <c r="E24" s="320" t="n">
        <v>46266</v>
      </c>
      <c r="F24" s="320" t="n">
        <v>46722</v>
      </c>
      <c r="G24" s="321" t="n">
        <v>0.03</v>
      </c>
      <c r="H24" s="322" t="n">
        <f aca="false">$D$8</f>
        <v>46661</v>
      </c>
      <c r="I24" s="323" t="n">
        <f aca="false">IF(OR($D24="",$E24="",NOT(ISNUMBER($D24))),"",IF(AND($E24&lt;=I$10,IF($F24="",$X$10,$F24)&gt;=I$10),$D24/12*(1+N($G24))^IF(AND(ISNUMBER($H24),I$10&gt;=$H24),1+INT(DATEDIF($H24,I$10,"m")/12),0),0))</f>
        <v>5893.33333333333</v>
      </c>
      <c r="J24" s="323" t="n">
        <f aca="false">IF(OR($D24="",$E24="",NOT(ISNUMBER($D24))),"",IF(AND($E24&lt;=J$10,IF($F24="",$X$10,$F24)&gt;=J$10),$D24/12*(1+N($G24))^IF(AND(ISNUMBER($H24),J$10&gt;=$H24),1+INT(DATEDIF($H24,J$10,"m")/12),0),0))</f>
        <v>5893.33333333333</v>
      </c>
      <c r="K24" s="323" t="n">
        <f aca="false">IF(OR($D24="",$E24="",NOT(ISNUMBER($D24))),"",IF(AND($E24&lt;=K$10,IF($F24="",$X$10,$F24)&gt;=K$10),$D24/12*(1+N($G24))^IF(AND(ISNUMBER($H24),K$10&gt;=$H24),1+INT(DATEDIF($H24,K$10,"m")/12),0),0))</f>
        <v>5893.33333333333</v>
      </c>
      <c r="L24" s="323" t="n">
        <f aca="false">IF(OR($D24="",$E24="",NOT(ISNUMBER($D24))),"",IF(AND($E24&lt;=L$10,IF($F24="",$X$10,$F24)&gt;=L$10),$D24/12*(1+N($G24))^IF(AND(ISNUMBER($H24),L$10&gt;=$H24),1+INT(DATEDIF($H24,L$10,"m")/12),0),0))</f>
        <v>5893.33333333333</v>
      </c>
      <c r="M24" s="323" t="n">
        <f aca="false">IF(OR($D24="",$E24="",NOT(ISNUMBER($D24))),"",IF(AND($E24&lt;=M$10,IF($F24="",$X$10,$F24)&gt;=M$10),$D24/12*(1+N($G24))^IF(AND(ISNUMBER($H24),M$10&gt;=$H24),1+INT(DATEDIF($H24,M$10,"m")/12),0),0))</f>
        <v>5893.33333333333</v>
      </c>
      <c r="N24" s="323" t="n">
        <f aca="false">IF(OR($D24="",$E24="",NOT(ISNUMBER($D24))),"",IF(AND($E24&lt;=N$10,IF($F24="",$X$10,$F24)&gt;=N$10),$D24/12*(1+N($G24))^IF(AND(ISNUMBER($H24),N$10&gt;=$H24),1+INT(DATEDIF($H24,N$10,"m")/12),0),0))</f>
        <v>5893.33333333333</v>
      </c>
      <c r="O24" s="323" t="n">
        <f aca="false">IF(OR($D24="",$E24="",NOT(ISNUMBER($D24))),"",IF(AND($E24&lt;=O$10,IF($F24="",$X$10,$F24)&gt;=O$10),$D24/12*(1+N($G24))^IF(AND(ISNUMBER($H24),O$10&gt;=$H24),1+INT(DATEDIF($H24,O$10,"m")/12),0),0))</f>
        <v>5893.33333333333</v>
      </c>
      <c r="P24" s="323" t="n">
        <f aca="false">IF(OR($D24="",$E24="",NOT(ISNUMBER($D24))),"",IF(AND($E24&lt;=P$10,IF($F24="",$X$10,$F24)&gt;=P$10),$D24/12*(1+N($G24))^IF(AND(ISNUMBER($H24),P$10&gt;=$H24),1+INT(DATEDIF($H24,P$10,"m")/12),0),0))</f>
        <v>5893.33333333333</v>
      </c>
      <c r="Q24" s="323" t="n">
        <f aca="false">IF(OR($D24="",$E24="",NOT(ISNUMBER($D24))),"",IF(AND($E24&lt;=Q$10,IF($F24="",$X$10,$F24)&gt;=Q$10),$D24/12*(1+N($G24))^IF(AND(ISNUMBER($H24),Q$10&gt;=$H24),1+INT(DATEDIF($H24,Q$10,"m")/12),0),0))</f>
        <v>5893.33333333333</v>
      </c>
      <c r="R24" s="323" t="n">
        <f aca="false">IF(OR($D24="",$E24="",NOT(ISNUMBER($D24))),"",IF(AND($E24&lt;=R$10,IF($F24="",$X$10,$F24)&gt;=R$10),$D24/12*(1+N($G24))^IF(AND(ISNUMBER($H24),R$10&gt;=$H24),1+INT(DATEDIF($H24,R$10,"m")/12),0),0))</f>
        <v>5893.33333333333</v>
      </c>
      <c r="S24" s="323" t="n">
        <f aca="false">IF(OR($D24="",$E24="",NOT(ISNUMBER($D24))),"",IF(AND($E24&lt;=S$10,IF($F24="",$X$10,$F24)&gt;=S$10),$D24/12*(1+N($G24))^IF(AND(ISNUMBER($H24),S$10&gt;=$H24),1+INT(DATEDIF($H24,S$10,"m")/12),0),0))</f>
        <v>5893.33333333333</v>
      </c>
      <c r="T24" s="323" t="n">
        <f aca="false">IF(OR($D24="",$E24="",NOT(ISNUMBER($D24))),"",IF(AND($E24&lt;=T$10,IF($F24="",$X$10,$F24)&gt;=T$10),$D24/12*(1+N($G24))^IF(AND(ISNUMBER($H24),T$10&gt;=$H24),1+INT(DATEDIF($H24,T$10,"m")/12),0),0))</f>
        <v>5893.33333333333</v>
      </c>
      <c r="U24" s="323" t="n">
        <f aca="false">IF(OR($D24="",$E24="",NOT(ISNUMBER($D24))),"",IF(AND($E24&lt;=U$10,IF($F24="",$X$10,$F24)&gt;=U$10),$D24/12*(1+N($G24))^IF(AND(ISNUMBER($H24),U$10&gt;=$H24),1+INT(DATEDIF($H24,U$10,"m")/12),0),0))</f>
        <v>5893.33333333333</v>
      </c>
      <c r="V24" s="323" t="n">
        <f aca="false">IF(OR($D24="",$E24="",NOT(ISNUMBER($D24))),"",IF(AND($E24&lt;=V$10,IF($F24="",$X$10,$F24)&gt;=V$10),$D24/12*(1+N($G24))^IF(AND(ISNUMBER($H24),V$10&gt;=$H24),1+INT(DATEDIF($H24,V$10,"m")/12),0),0))</f>
        <v>6070.13333333333</v>
      </c>
      <c r="W24" s="323" t="n">
        <f aca="false">IF(OR($D24="",$E24="",NOT(ISNUMBER($D24))),"",IF(AND($E24&lt;=W$10,IF($F24="",$X$10,$F24)&gt;=W$10),$D24/12*(1+N($G24))^IF(AND(ISNUMBER($H24),W$10&gt;=$H24),1+INT(DATEDIF($H24,W$10,"m")/12),0),0))</f>
        <v>6070.13333333333</v>
      </c>
      <c r="X24" s="323" t="n">
        <f aca="false">IF(OR($D24="",$E24="",NOT(ISNUMBER($D24))),"",IF(AND($E24&lt;=X$10,IF($F24="",$X$10,$F24)&gt;=X$10),$D24/12*(1+N($G24))^IF(AND(ISNUMBER($H24),X$10&gt;=$H24),1+INT(DATEDIF($H24,X$10,"m")/12),0),0))</f>
        <v>6070.13333333333</v>
      </c>
      <c r="Y24" s="323"/>
      <c r="Z24" s="323" t="n">
        <f aca="false">SUM(M24:X24)</f>
        <v>71250.4</v>
      </c>
      <c r="AB24" s="325" t="str">
        <f aca="false">IF($D24&amp;$E24="","",IF(AND($D24&lt;&gt;"",NOT(ISNUMBER($D24))),"Salary must be a number",IF(AND($D24&lt;&gt;"",$E24=""),"Start month missing",IF(AND(ISNUMBER($E24),ISNUMBER($F24),$F24&lt;$E24),"End is before Start",IF(AND($D24&lt;&gt;"",NOT(ISNUMBER($H24))),"Increase month missing","")))))</f>
        <v/>
      </c>
    </row>
    <row r="25" customFormat="false" ht="14.4" hidden="false" customHeight="false" outlineLevel="0" collapsed="false">
      <c r="B25" s="318" t="s">
        <v>3061</v>
      </c>
      <c r="C25" s="318" t="s">
        <v>3062</v>
      </c>
      <c r="D25" s="319" t="n">
        <v>120000</v>
      </c>
      <c r="E25" s="320" t="n">
        <v>46266</v>
      </c>
      <c r="F25" s="320" t="n">
        <v>46722</v>
      </c>
      <c r="G25" s="321" t="n">
        <v>0.03</v>
      </c>
      <c r="H25" s="322" t="n">
        <f aca="false">$D$8</f>
        <v>46661</v>
      </c>
      <c r="I25" s="323" t="n">
        <f aca="false">IF(OR($D25="",$E25="",NOT(ISNUMBER($D25))),"",IF(AND($E25&lt;=I$10,IF($F25="",$X$10,$F25)&gt;=I$10),$D25/12*(1+N($G25))^IF(AND(ISNUMBER($H25),I$10&gt;=$H25),1+INT(DATEDIF($H25,I$10,"m")/12),0),0))</f>
        <v>10000</v>
      </c>
      <c r="J25" s="323" t="n">
        <f aca="false">IF(OR($D25="",$E25="",NOT(ISNUMBER($D25))),"",IF(AND($E25&lt;=J$10,IF($F25="",$X$10,$F25)&gt;=J$10),$D25/12*(1+N($G25))^IF(AND(ISNUMBER($H25),J$10&gt;=$H25),1+INT(DATEDIF($H25,J$10,"m")/12),0),0))</f>
        <v>10000</v>
      </c>
      <c r="K25" s="323" t="n">
        <f aca="false">IF(OR($D25="",$E25="",NOT(ISNUMBER($D25))),"",IF(AND($E25&lt;=K$10,IF($F25="",$X$10,$F25)&gt;=K$10),$D25/12*(1+N($G25))^IF(AND(ISNUMBER($H25),K$10&gt;=$H25),1+INT(DATEDIF($H25,K$10,"m")/12),0),0))</f>
        <v>10000</v>
      </c>
      <c r="L25" s="323" t="n">
        <f aca="false">IF(OR($D25="",$E25="",NOT(ISNUMBER($D25))),"",IF(AND($E25&lt;=L$10,IF($F25="",$X$10,$F25)&gt;=L$10),$D25/12*(1+N($G25))^IF(AND(ISNUMBER($H25),L$10&gt;=$H25),1+INT(DATEDIF($H25,L$10,"m")/12),0),0))</f>
        <v>10000</v>
      </c>
      <c r="M25" s="323" t="n">
        <f aca="false">IF(OR($D25="",$E25="",NOT(ISNUMBER($D25))),"",IF(AND($E25&lt;=M$10,IF($F25="",$X$10,$F25)&gt;=M$10),$D25/12*(1+N($G25))^IF(AND(ISNUMBER($H25),M$10&gt;=$H25),1+INT(DATEDIF($H25,M$10,"m")/12),0),0))</f>
        <v>10000</v>
      </c>
      <c r="N25" s="323" t="n">
        <f aca="false">IF(OR($D25="",$E25="",NOT(ISNUMBER($D25))),"",IF(AND($E25&lt;=N$10,IF($F25="",$X$10,$F25)&gt;=N$10),$D25/12*(1+N($G25))^IF(AND(ISNUMBER($H25),N$10&gt;=$H25),1+INT(DATEDIF($H25,N$10,"m")/12),0),0))</f>
        <v>10000</v>
      </c>
      <c r="O25" s="323" t="n">
        <f aca="false">IF(OR($D25="",$E25="",NOT(ISNUMBER($D25))),"",IF(AND($E25&lt;=O$10,IF($F25="",$X$10,$F25)&gt;=O$10),$D25/12*(1+N($G25))^IF(AND(ISNUMBER($H25),O$10&gt;=$H25),1+INT(DATEDIF($H25,O$10,"m")/12),0),0))</f>
        <v>10000</v>
      </c>
      <c r="P25" s="323" t="n">
        <f aca="false">IF(OR($D25="",$E25="",NOT(ISNUMBER($D25))),"",IF(AND($E25&lt;=P$10,IF($F25="",$X$10,$F25)&gt;=P$10),$D25/12*(1+N($G25))^IF(AND(ISNUMBER($H25),P$10&gt;=$H25),1+INT(DATEDIF($H25,P$10,"m")/12),0),0))</f>
        <v>10000</v>
      </c>
      <c r="Q25" s="323" t="n">
        <f aca="false">IF(OR($D25="",$E25="",NOT(ISNUMBER($D25))),"",IF(AND($E25&lt;=Q$10,IF($F25="",$X$10,$F25)&gt;=Q$10),$D25/12*(1+N($G25))^IF(AND(ISNUMBER($H25),Q$10&gt;=$H25),1+INT(DATEDIF($H25,Q$10,"m")/12),0),0))</f>
        <v>10000</v>
      </c>
      <c r="R25" s="323" t="n">
        <f aca="false">IF(OR($D25="",$E25="",NOT(ISNUMBER($D25))),"",IF(AND($E25&lt;=R$10,IF($F25="",$X$10,$F25)&gt;=R$10),$D25/12*(1+N($G25))^IF(AND(ISNUMBER($H25),R$10&gt;=$H25),1+INT(DATEDIF($H25,R$10,"m")/12),0),0))</f>
        <v>10000</v>
      </c>
      <c r="S25" s="323" t="n">
        <f aca="false">IF(OR($D25="",$E25="",NOT(ISNUMBER($D25))),"",IF(AND($E25&lt;=S$10,IF($F25="",$X$10,$F25)&gt;=S$10),$D25/12*(1+N($G25))^IF(AND(ISNUMBER($H25),S$10&gt;=$H25),1+INT(DATEDIF($H25,S$10,"m")/12),0),0))</f>
        <v>10000</v>
      </c>
      <c r="T25" s="323" t="n">
        <f aca="false">IF(OR($D25="",$E25="",NOT(ISNUMBER($D25))),"",IF(AND($E25&lt;=T$10,IF($F25="",$X$10,$F25)&gt;=T$10),$D25/12*(1+N($G25))^IF(AND(ISNUMBER($H25),T$10&gt;=$H25),1+INT(DATEDIF($H25,T$10,"m")/12),0),0))</f>
        <v>10000</v>
      </c>
      <c r="U25" s="323" t="n">
        <f aca="false">IF(OR($D25="",$E25="",NOT(ISNUMBER($D25))),"",IF(AND($E25&lt;=U$10,IF($F25="",$X$10,$F25)&gt;=U$10),$D25/12*(1+N($G25))^IF(AND(ISNUMBER($H25),U$10&gt;=$H25),1+INT(DATEDIF($H25,U$10,"m")/12),0),0))</f>
        <v>10000</v>
      </c>
      <c r="V25" s="323" t="n">
        <f aca="false">IF(OR($D25="",$E25="",NOT(ISNUMBER($D25))),"",IF(AND($E25&lt;=V$10,IF($F25="",$X$10,$F25)&gt;=V$10),$D25/12*(1+N($G25))^IF(AND(ISNUMBER($H25),V$10&gt;=$H25),1+INT(DATEDIF($H25,V$10,"m")/12),0),0))</f>
        <v>10300</v>
      </c>
      <c r="W25" s="323" t="n">
        <f aca="false">IF(OR($D25="",$E25="",NOT(ISNUMBER($D25))),"",IF(AND($E25&lt;=W$10,IF($F25="",$X$10,$F25)&gt;=W$10),$D25/12*(1+N($G25))^IF(AND(ISNUMBER($H25),W$10&gt;=$H25),1+INT(DATEDIF($H25,W$10,"m")/12),0),0))</f>
        <v>10300</v>
      </c>
      <c r="X25" s="323" t="n">
        <f aca="false">IF(OR($D25="",$E25="",NOT(ISNUMBER($D25))),"",IF(AND($E25&lt;=X$10,IF($F25="",$X$10,$F25)&gt;=X$10),$D25/12*(1+N($G25))^IF(AND(ISNUMBER($H25),X$10&gt;=$H25),1+INT(DATEDIF($H25,X$10,"m")/12),0),0))</f>
        <v>10300</v>
      </c>
      <c r="Y25" s="323"/>
      <c r="Z25" s="323" t="n">
        <f aca="false">SUM(M25:X25)</f>
        <v>120900</v>
      </c>
      <c r="AB25" s="325" t="str">
        <f aca="false">IF($D25&amp;$E25="","",IF(AND($D25&lt;&gt;"",NOT(ISNUMBER($D25))),"Salary must be a number",IF(AND($D25&lt;&gt;"",$E25=""),"Start month missing",IF(AND(ISNUMBER($E25),ISNUMBER($F25),$F25&lt;$E25),"End is before Start",IF(AND($D25&lt;&gt;"",NOT(ISNUMBER($H25))),"Increase month missing","")))))</f>
        <v/>
      </c>
    </row>
    <row r="26" customFormat="false" ht="14.4" hidden="false" customHeight="false" outlineLevel="0" collapsed="false">
      <c r="B26" s="318" t="s">
        <v>3063</v>
      </c>
      <c r="C26" s="318" t="s">
        <v>3049</v>
      </c>
      <c r="D26" s="319" t="n">
        <v>62400</v>
      </c>
      <c r="E26" s="320" t="n">
        <v>46266</v>
      </c>
      <c r="F26" s="320" t="n">
        <v>46722</v>
      </c>
      <c r="G26" s="321" t="n">
        <v>0.03</v>
      </c>
      <c r="H26" s="322" t="n">
        <f aca="false">$D$8</f>
        <v>46661</v>
      </c>
      <c r="I26" s="323" t="n">
        <f aca="false">IF(OR($D26="",$E26="",NOT(ISNUMBER($D26))),"",IF(AND($E26&lt;=I$10,IF($F26="",$X$10,$F26)&gt;=I$10),$D26/12*(1+N($G26))^IF(AND(ISNUMBER($H26),I$10&gt;=$H26),1+INT(DATEDIF($H26,I$10,"m")/12),0),0))</f>
        <v>5200</v>
      </c>
      <c r="J26" s="323" t="n">
        <f aca="false">IF(OR($D26="",$E26="",NOT(ISNUMBER($D26))),"",IF(AND($E26&lt;=J$10,IF($F26="",$X$10,$F26)&gt;=J$10),$D26/12*(1+N($G26))^IF(AND(ISNUMBER($H26),J$10&gt;=$H26),1+INT(DATEDIF($H26,J$10,"m")/12),0),0))</f>
        <v>5200</v>
      </c>
      <c r="K26" s="323" t="n">
        <f aca="false">IF(OR($D26="",$E26="",NOT(ISNUMBER($D26))),"",IF(AND($E26&lt;=K$10,IF($F26="",$X$10,$F26)&gt;=K$10),$D26/12*(1+N($G26))^IF(AND(ISNUMBER($H26),K$10&gt;=$H26),1+INT(DATEDIF($H26,K$10,"m")/12),0),0))</f>
        <v>5200</v>
      </c>
      <c r="L26" s="323" t="n">
        <f aca="false">IF(OR($D26="",$E26="",NOT(ISNUMBER($D26))),"",IF(AND($E26&lt;=L$10,IF($F26="",$X$10,$F26)&gt;=L$10),$D26/12*(1+N($G26))^IF(AND(ISNUMBER($H26),L$10&gt;=$H26),1+INT(DATEDIF($H26,L$10,"m")/12),0),0))</f>
        <v>5200</v>
      </c>
      <c r="M26" s="323" t="n">
        <f aca="false">IF(OR($D26="",$E26="",NOT(ISNUMBER($D26))),"",IF(AND($E26&lt;=M$10,IF($F26="",$X$10,$F26)&gt;=M$10),$D26/12*(1+N($G26))^IF(AND(ISNUMBER($H26),M$10&gt;=$H26),1+INT(DATEDIF($H26,M$10,"m")/12),0),0))</f>
        <v>5200</v>
      </c>
      <c r="N26" s="323" t="n">
        <f aca="false">IF(OR($D26="",$E26="",NOT(ISNUMBER($D26))),"",IF(AND($E26&lt;=N$10,IF($F26="",$X$10,$F26)&gt;=N$10),$D26/12*(1+N($G26))^IF(AND(ISNUMBER($H26),N$10&gt;=$H26),1+INT(DATEDIF($H26,N$10,"m")/12),0),0))</f>
        <v>5200</v>
      </c>
      <c r="O26" s="323" t="n">
        <f aca="false">IF(OR($D26="",$E26="",NOT(ISNUMBER($D26))),"",IF(AND($E26&lt;=O$10,IF($F26="",$X$10,$F26)&gt;=O$10),$D26/12*(1+N($G26))^IF(AND(ISNUMBER($H26),O$10&gt;=$H26),1+INT(DATEDIF($H26,O$10,"m")/12),0),0))</f>
        <v>5200</v>
      </c>
      <c r="P26" s="323" t="n">
        <f aca="false">IF(OR($D26="",$E26="",NOT(ISNUMBER($D26))),"",IF(AND($E26&lt;=P$10,IF($F26="",$X$10,$F26)&gt;=P$10),$D26/12*(1+N($G26))^IF(AND(ISNUMBER($H26),P$10&gt;=$H26),1+INT(DATEDIF($H26,P$10,"m")/12),0),0))</f>
        <v>5200</v>
      </c>
      <c r="Q26" s="323" t="n">
        <f aca="false">IF(OR($D26="",$E26="",NOT(ISNUMBER($D26))),"",IF(AND($E26&lt;=Q$10,IF($F26="",$X$10,$F26)&gt;=Q$10),$D26/12*(1+N($G26))^IF(AND(ISNUMBER($H26),Q$10&gt;=$H26),1+INT(DATEDIF($H26,Q$10,"m")/12),0),0))</f>
        <v>5200</v>
      </c>
      <c r="R26" s="323" t="n">
        <f aca="false">IF(OR($D26="",$E26="",NOT(ISNUMBER($D26))),"",IF(AND($E26&lt;=R$10,IF($F26="",$X$10,$F26)&gt;=R$10),$D26/12*(1+N($G26))^IF(AND(ISNUMBER($H26),R$10&gt;=$H26),1+INT(DATEDIF($H26,R$10,"m")/12),0),0))</f>
        <v>5200</v>
      </c>
      <c r="S26" s="323" t="n">
        <f aca="false">IF(OR($D26="",$E26="",NOT(ISNUMBER($D26))),"",IF(AND($E26&lt;=S$10,IF($F26="",$X$10,$F26)&gt;=S$10),$D26/12*(1+N($G26))^IF(AND(ISNUMBER($H26),S$10&gt;=$H26),1+INT(DATEDIF($H26,S$10,"m")/12),0),0))</f>
        <v>5200</v>
      </c>
      <c r="T26" s="323" t="n">
        <f aca="false">IF(OR($D26="",$E26="",NOT(ISNUMBER($D26))),"",IF(AND($E26&lt;=T$10,IF($F26="",$X$10,$F26)&gt;=T$10),$D26/12*(1+N($G26))^IF(AND(ISNUMBER($H26),T$10&gt;=$H26),1+INT(DATEDIF($H26,T$10,"m")/12),0),0))</f>
        <v>5200</v>
      </c>
      <c r="U26" s="323" t="n">
        <f aca="false">IF(OR($D26="",$E26="",NOT(ISNUMBER($D26))),"",IF(AND($E26&lt;=U$10,IF($F26="",$X$10,$F26)&gt;=U$10),$D26/12*(1+N($G26))^IF(AND(ISNUMBER($H26),U$10&gt;=$H26),1+INT(DATEDIF($H26,U$10,"m")/12),0),0))</f>
        <v>5200</v>
      </c>
      <c r="V26" s="323" t="n">
        <f aca="false">IF(OR($D26="",$E26="",NOT(ISNUMBER($D26))),"",IF(AND($E26&lt;=V$10,IF($F26="",$X$10,$F26)&gt;=V$10),$D26/12*(1+N($G26))^IF(AND(ISNUMBER($H26),V$10&gt;=$H26),1+INT(DATEDIF($H26,V$10,"m")/12),0),0))</f>
        <v>5356</v>
      </c>
      <c r="W26" s="323" t="n">
        <f aca="false">IF(OR($D26="",$E26="",NOT(ISNUMBER($D26))),"",IF(AND($E26&lt;=W$10,IF($F26="",$X$10,$F26)&gt;=W$10),$D26/12*(1+N($G26))^IF(AND(ISNUMBER($H26),W$10&gt;=$H26),1+INT(DATEDIF($H26,W$10,"m")/12),0),0))</f>
        <v>5356</v>
      </c>
      <c r="X26" s="323" t="n">
        <f aca="false">IF(OR($D26="",$E26="",NOT(ISNUMBER($D26))),"",IF(AND($E26&lt;=X$10,IF($F26="",$X$10,$F26)&gt;=X$10),$D26/12*(1+N($G26))^IF(AND(ISNUMBER($H26),X$10&gt;=$H26),1+INT(DATEDIF($H26,X$10,"m")/12),0),0))</f>
        <v>5356</v>
      </c>
      <c r="Y26" s="323"/>
      <c r="Z26" s="323" t="n">
        <f aca="false">SUM(M26:X26)</f>
        <v>62868</v>
      </c>
      <c r="AB26" s="325" t="str">
        <f aca="false">IF($D26&amp;$E26="","",IF(AND($D26&lt;&gt;"",NOT(ISNUMBER($D26))),"Salary must be a number",IF(AND($D26&lt;&gt;"",$E26=""),"Start month missing",IF(AND(ISNUMBER($E26),ISNUMBER($F26),$F26&lt;$E26),"End is before Start",IF(AND($D26&lt;&gt;"",NOT(ISNUMBER($H26))),"Increase month missing","")))))</f>
        <v/>
      </c>
    </row>
    <row r="27" customFormat="false" ht="14.4" hidden="false" customHeight="false" outlineLevel="0" collapsed="false">
      <c r="B27" s="318" t="s">
        <v>3064</v>
      </c>
      <c r="C27" s="318" t="s">
        <v>3049</v>
      </c>
      <c r="D27" s="319" t="n">
        <v>72800</v>
      </c>
      <c r="E27" s="320" t="n">
        <v>46266</v>
      </c>
      <c r="F27" s="320" t="n">
        <v>46722</v>
      </c>
      <c r="G27" s="321" t="n">
        <v>0.03</v>
      </c>
      <c r="H27" s="322" t="n">
        <f aca="false">$D$8</f>
        <v>46661</v>
      </c>
      <c r="I27" s="323" t="n">
        <f aca="false">IF(OR($D27="",$E27="",NOT(ISNUMBER($D27))),"",IF(AND($E27&lt;=I$10,IF($F27="",$X$10,$F27)&gt;=I$10),$D27/12*(1+N($G27))^IF(AND(ISNUMBER($H27),I$10&gt;=$H27),1+INT(DATEDIF($H27,I$10,"m")/12),0),0))</f>
        <v>6066.66666666667</v>
      </c>
      <c r="J27" s="323" t="n">
        <f aca="false">IF(OR($D27="",$E27="",NOT(ISNUMBER($D27))),"",IF(AND($E27&lt;=J$10,IF($F27="",$X$10,$F27)&gt;=J$10),$D27/12*(1+N($G27))^IF(AND(ISNUMBER($H27),J$10&gt;=$H27),1+INT(DATEDIF($H27,J$10,"m")/12),0),0))</f>
        <v>6066.66666666667</v>
      </c>
      <c r="K27" s="323" t="n">
        <f aca="false">IF(OR($D27="",$E27="",NOT(ISNUMBER($D27))),"",IF(AND($E27&lt;=K$10,IF($F27="",$X$10,$F27)&gt;=K$10),$D27/12*(1+N($G27))^IF(AND(ISNUMBER($H27),K$10&gt;=$H27),1+INT(DATEDIF($H27,K$10,"m")/12),0),0))</f>
        <v>6066.66666666667</v>
      </c>
      <c r="L27" s="323" t="n">
        <f aca="false">IF(OR($D27="",$E27="",NOT(ISNUMBER($D27))),"",IF(AND($E27&lt;=L$10,IF($F27="",$X$10,$F27)&gt;=L$10),$D27/12*(1+N($G27))^IF(AND(ISNUMBER($H27),L$10&gt;=$H27),1+INT(DATEDIF($H27,L$10,"m")/12),0),0))</f>
        <v>6066.66666666667</v>
      </c>
      <c r="M27" s="323" t="n">
        <f aca="false">IF(OR($D27="",$E27="",NOT(ISNUMBER($D27))),"",IF(AND($E27&lt;=M$10,IF($F27="",$X$10,$F27)&gt;=M$10),$D27/12*(1+N($G27))^IF(AND(ISNUMBER($H27),M$10&gt;=$H27),1+INT(DATEDIF($H27,M$10,"m")/12),0),0))</f>
        <v>6066.66666666667</v>
      </c>
      <c r="N27" s="323" t="n">
        <f aca="false">IF(OR($D27="",$E27="",NOT(ISNUMBER($D27))),"",IF(AND($E27&lt;=N$10,IF($F27="",$X$10,$F27)&gt;=N$10),$D27/12*(1+N($G27))^IF(AND(ISNUMBER($H27),N$10&gt;=$H27),1+INT(DATEDIF($H27,N$10,"m")/12),0),0))</f>
        <v>6066.66666666667</v>
      </c>
      <c r="O27" s="323" t="n">
        <f aca="false">IF(OR($D27="",$E27="",NOT(ISNUMBER($D27))),"",IF(AND($E27&lt;=O$10,IF($F27="",$X$10,$F27)&gt;=O$10),$D27/12*(1+N($G27))^IF(AND(ISNUMBER($H27),O$10&gt;=$H27),1+INT(DATEDIF($H27,O$10,"m")/12),0),0))</f>
        <v>6066.66666666667</v>
      </c>
      <c r="P27" s="323" t="n">
        <f aca="false">IF(OR($D27="",$E27="",NOT(ISNUMBER($D27))),"",IF(AND($E27&lt;=P$10,IF($F27="",$X$10,$F27)&gt;=P$10),$D27/12*(1+N($G27))^IF(AND(ISNUMBER($H27),P$10&gt;=$H27),1+INT(DATEDIF($H27,P$10,"m")/12),0),0))</f>
        <v>6066.66666666667</v>
      </c>
      <c r="Q27" s="323" t="n">
        <f aca="false">IF(OR($D27="",$E27="",NOT(ISNUMBER($D27))),"",IF(AND($E27&lt;=Q$10,IF($F27="",$X$10,$F27)&gt;=Q$10),$D27/12*(1+N($G27))^IF(AND(ISNUMBER($H27),Q$10&gt;=$H27),1+INT(DATEDIF($H27,Q$10,"m")/12),0),0))</f>
        <v>6066.66666666667</v>
      </c>
      <c r="R27" s="323" t="n">
        <f aca="false">IF(OR($D27="",$E27="",NOT(ISNUMBER($D27))),"",IF(AND($E27&lt;=R$10,IF($F27="",$X$10,$F27)&gt;=R$10),$D27/12*(1+N($G27))^IF(AND(ISNUMBER($H27),R$10&gt;=$H27),1+INT(DATEDIF($H27,R$10,"m")/12),0),0))</f>
        <v>6066.66666666667</v>
      </c>
      <c r="S27" s="323" t="n">
        <f aca="false">IF(OR($D27="",$E27="",NOT(ISNUMBER($D27))),"",IF(AND($E27&lt;=S$10,IF($F27="",$X$10,$F27)&gt;=S$10),$D27/12*(1+N($G27))^IF(AND(ISNUMBER($H27),S$10&gt;=$H27),1+INT(DATEDIF($H27,S$10,"m")/12),0),0))</f>
        <v>6066.66666666667</v>
      </c>
      <c r="T27" s="323" t="n">
        <f aca="false">IF(OR($D27="",$E27="",NOT(ISNUMBER($D27))),"",IF(AND($E27&lt;=T$10,IF($F27="",$X$10,$F27)&gt;=T$10),$D27/12*(1+N($G27))^IF(AND(ISNUMBER($H27),T$10&gt;=$H27),1+INT(DATEDIF($H27,T$10,"m")/12),0),0))</f>
        <v>6066.66666666667</v>
      </c>
      <c r="U27" s="323" t="n">
        <f aca="false">IF(OR($D27="",$E27="",NOT(ISNUMBER($D27))),"",IF(AND($E27&lt;=U$10,IF($F27="",$X$10,$F27)&gt;=U$10),$D27/12*(1+N($G27))^IF(AND(ISNUMBER($H27),U$10&gt;=$H27),1+INT(DATEDIF($H27,U$10,"m")/12),0),0))</f>
        <v>6066.66666666667</v>
      </c>
      <c r="V27" s="323" t="n">
        <f aca="false">IF(OR($D27="",$E27="",NOT(ISNUMBER($D27))),"",IF(AND($E27&lt;=V$10,IF($F27="",$X$10,$F27)&gt;=V$10),$D27/12*(1+N($G27))^IF(AND(ISNUMBER($H27),V$10&gt;=$H27),1+INT(DATEDIF($H27,V$10,"m")/12),0),0))</f>
        <v>6248.66666666667</v>
      </c>
      <c r="W27" s="323" t="n">
        <f aca="false">IF(OR($D27="",$E27="",NOT(ISNUMBER($D27))),"",IF(AND($E27&lt;=W$10,IF($F27="",$X$10,$F27)&gt;=W$10),$D27/12*(1+N($G27))^IF(AND(ISNUMBER($H27),W$10&gt;=$H27),1+INT(DATEDIF($H27,W$10,"m")/12),0),0))</f>
        <v>6248.66666666667</v>
      </c>
      <c r="X27" s="323" t="n">
        <f aca="false">IF(OR($D27="",$E27="",NOT(ISNUMBER($D27))),"",IF(AND($E27&lt;=X$10,IF($F27="",$X$10,$F27)&gt;=X$10),$D27/12*(1+N($G27))^IF(AND(ISNUMBER($H27),X$10&gt;=$H27),1+INT(DATEDIF($H27,X$10,"m")/12),0),0))</f>
        <v>6248.66666666667</v>
      </c>
      <c r="Y27" s="323"/>
      <c r="Z27" s="323" t="n">
        <f aca="false">SUM(M27:X27)</f>
        <v>73346</v>
      </c>
      <c r="AB27" s="325" t="str">
        <f aca="false">IF($D27&amp;$E27="","",IF(AND($D27&lt;&gt;"",NOT(ISNUMBER($D27))),"Salary must be a number",IF(AND($D27&lt;&gt;"",$E27=""),"Start month missing",IF(AND(ISNUMBER($E27),ISNUMBER($F27),$F27&lt;$E27),"End is before Start",IF(AND($D27&lt;&gt;"",NOT(ISNUMBER($H27))),"Increase month missing","")))))</f>
        <v/>
      </c>
    </row>
    <row r="28" customFormat="false" ht="14.4" hidden="false" customHeight="false" outlineLevel="0" collapsed="false">
      <c r="B28" s="318" t="s">
        <v>3065</v>
      </c>
      <c r="C28" s="318" t="s">
        <v>3049</v>
      </c>
      <c r="D28" s="319" t="n">
        <v>62400</v>
      </c>
      <c r="E28" s="320" t="n">
        <v>46266</v>
      </c>
      <c r="F28" s="320" t="n">
        <v>46722</v>
      </c>
      <c r="G28" s="321" t="n">
        <v>0.03</v>
      </c>
      <c r="H28" s="322" t="n">
        <f aca="false">$D$8</f>
        <v>46661</v>
      </c>
      <c r="I28" s="323" t="n">
        <f aca="false">IF(OR($D28="",$E28="",NOT(ISNUMBER($D28))),"",IF(AND($E28&lt;=I$10,IF($F28="",$X$10,$F28)&gt;=I$10),$D28/12*(1+N($G28))^IF(AND(ISNUMBER($H28),I$10&gt;=$H28),1+INT(DATEDIF($H28,I$10,"m")/12),0),0))</f>
        <v>5200</v>
      </c>
      <c r="J28" s="323" t="n">
        <f aca="false">IF(OR($D28="",$E28="",NOT(ISNUMBER($D28))),"",IF(AND($E28&lt;=J$10,IF($F28="",$X$10,$F28)&gt;=J$10),$D28/12*(1+N($G28))^IF(AND(ISNUMBER($H28),J$10&gt;=$H28),1+INT(DATEDIF($H28,J$10,"m")/12),0),0))</f>
        <v>5200</v>
      </c>
      <c r="K28" s="323" t="n">
        <f aca="false">IF(OR($D28="",$E28="",NOT(ISNUMBER($D28))),"",IF(AND($E28&lt;=K$10,IF($F28="",$X$10,$F28)&gt;=K$10),$D28/12*(1+N($G28))^IF(AND(ISNUMBER($H28),K$10&gt;=$H28),1+INT(DATEDIF($H28,K$10,"m")/12),0),0))</f>
        <v>5200</v>
      </c>
      <c r="L28" s="323" t="n">
        <f aca="false">IF(OR($D28="",$E28="",NOT(ISNUMBER($D28))),"",IF(AND($E28&lt;=L$10,IF($F28="",$X$10,$F28)&gt;=L$10),$D28/12*(1+N($G28))^IF(AND(ISNUMBER($H28),L$10&gt;=$H28),1+INT(DATEDIF($H28,L$10,"m")/12),0),0))</f>
        <v>5200</v>
      </c>
      <c r="M28" s="323" t="n">
        <f aca="false">IF(OR($D28="",$E28="",NOT(ISNUMBER($D28))),"",IF(AND($E28&lt;=M$10,IF($F28="",$X$10,$F28)&gt;=M$10),$D28/12*(1+N($G28))^IF(AND(ISNUMBER($H28),M$10&gt;=$H28),1+INT(DATEDIF($H28,M$10,"m")/12),0),0))</f>
        <v>5200</v>
      </c>
      <c r="N28" s="323" t="n">
        <f aca="false">IF(OR($D28="",$E28="",NOT(ISNUMBER($D28))),"",IF(AND($E28&lt;=N$10,IF($F28="",$X$10,$F28)&gt;=N$10),$D28/12*(1+N($G28))^IF(AND(ISNUMBER($H28),N$10&gt;=$H28),1+INT(DATEDIF($H28,N$10,"m")/12),0),0))</f>
        <v>5200</v>
      </c>
      <c r="O28" s="323" t="n">
        <f aca="false">IF(OR($D28="",$E28="",NOT(ISNUMBER($D28))),"",IF(AND($E28&lt;=O$10,IF($F28="",$X$10,$F28)&gt;=O$10),$D28/12*(1+N($G28))^IF(AND(ISNUMBER($H28),O$10&gt;=$H28),1+INT(DATEDIF($H28,O$10,"m")/12),0),0))</f>
        <v>5200</v>
      </c>
      <c r="P28" s="323" t="n">
        <f aca="false">IF(OR($D28="",$E28="",NOT(ISNUMBER($D28))),"",IF(AND($E28&lt;=P$10,IF($F28="",$X$10,$F28)&gt;=P$10),$D28/12*(1+N($G28))^IF(AND(ISNUMBER($H28),P$10&gt;=$H28),1+INT(DATEDIF($H28,P$10,"m")/12),0),0))</f>
        <v>5200</v>
      </c>
      <c r="Q28" s="323" t="n">
        <f aca="false">IF(OR($D28="",$E28="",NOT(ISNUMBER($D28))),"",IF(AND($E28&lt;=Q$10,IF($F28="",$X$10,$F28)&gt;=Q$10),$D28/12*(1+N($G28))^IF(AND(ISNUMBER($H28),Q$10&gt;=$H28),1+INT(DATEDIF($H28,Q$10,"m")/12),0),0))</f>
        <v>5200</v>
      </c>
      <c r="R28" s="323" t="n">
        <f aca="false">IF(OR($D28="",$E28="",NOT(ISNUMBER($D28))),"",IF(AND($E28&lt;=R$10,IF($F28="",$X$10,$F28)&gt;=R$10),$D28/12*(1+N($G28))^IF(AND(ISNUMBER($H28),R$10&gt;=$H28),1+INT(DATEDIF($H28,R$10,"m")/12),0),0))</f>
        <v>5200</v>
      </c>
      <c r="S28" s="323" t="n">
        <f aca="false">IF(OR($D28="",$E28="",NOT(ISNUMBER($D28))),"",IF(AND($E28&lt;=S$10,IF($F28="",$X$10,$F28)&gt;=S$10),$D28/12*(1+N($G28))^IF(AND(ISNUMBER($H28),S$10&gt;=$H28),1+INT(DATEDIF($H28,S$10,"m")/12),0),0))</f>
        <v>5200</v>
      </c>
      <c r="T28" s="323" t="n">
        <f aca="false">IF(OR($D28="",$E28="",NOT(ISNUMBER($D28))),"",IF(AND($E28&lt;=T$10,IF($F28="",$X$10,$F28)&gt;=T$10),$D28/12*(1+N($G28))^IF(AND(ISNUMBER($H28),T$10&gt;=$H28),1+INT(DATEDIF($H28,T$10,"m")/12),0),0))</f>
        <v>5200</v>
      </c>
      <c r="U28" s="323" t="n">
        <f aca="false">IF(OR($D28="",$E28="",NOT(ISNUMBER($D28))),"",IF(AND($E28&lt;=U$10,IF($F28="",$X$10,$F28)&gt;=U$10),$D28/12*(1+N($G28))^IF(AND(ISNUMBER($H28),U$10&gt;=$H28),1+INT(DATEDIF($H28,U$10,"m")/12),0),0))</f>
        <v>5200</v>
      </c>
      <c r="V28" s="323" t="n">
        <f aca="false">IF(OR($D28="",$E28="",NOT(ISNUMBER($D28))),"",IF(AND($E28&lt;=V$10,IF($F28="",$X$10,$F28)&gt;=V$10),$D28/12*(1+N($G28))^IF(AND(ISNUMBER($H28),V$10&gt;=$H28),1+INT(DATEDIF($H28,V$10,"m")/12),0),0))</f>
        <v>5356</v>
      </c>
      <c r="W28" s="323" t="n">
        <f aca="false">IF(OR($D28="",$E28="",NOT(ISNUMBER($D28))),"",IF(AND($E28&lt;=W$10,IF($F28="",$X$10,$F28)&gt;=W$10),$D28/12*(1+N($G28))^IF(AND(ISNUMBER($H28),W$10&gt;=$H28),1+INT(DATEDIF($H28,W$10,"m")/12),0),0))</f>
        <v>5356</v>
      </c>
      <c r="X28" s="323" t="n">
        <f aca="false">IF(OR($D28="",$E28="",NOT(ISNUMBER($D28))),"",IF(AND($E28&lt;=X$10,IF($F28="",$X$10,$F28)&gt;=X$10),$D28/12*(1+N($G28))^IF(AND(ISNUMBER($H28),X$10&gt;=$H28),1+INT(DATEDIF($H28,X$10,"m")/12),0),0))</f>
        <v>5356</v>
      </c>
      <c r="Y28" s="323"/>
      <c r="Z28" s="323" t="n">
        <f aca="false">SUM(M28:X28)</f>
        <v>62868</v>
      </c>
      <c r="AB28" s="325" t="str">
        <f aca="false">IF($D28&amp;$E28="","",IF(AND($D28&lt;&gt;"",NOT(ISNUMBER($D28))),"Salary must be a number",IF(AND($D28&lt;&gt;"",$E28=""),"Start month missing",IF(AND(ISNUMBER($E28),ISNUMBER($F28),$F28&lt;$E28),"End is before Start",IF(AND($D28&lt;&gt;"",NOT(ISNUMBER($H28))),"Increase month missing","")))))</f>
        <v/>
      </c>
    </row>
    <row r="29" customFormat="false" ht="14.4" hidden="false" customHeight="false" outlineLevel="0" collapsed="false">
      <c r="B29" s="318" t="s">
        <v>3066</v>
      </c>
      <c r="C29" s="318" t="s">
        <v>3049</v>
      </c>
      <c r="D29" s="319" t="n">
        <v>66560</v>
      </c>
      <c r="E29" s="320" t="n">
        <v>46266</v>
      </c>
      <c r="F29" s="320" t="n">
        <v>46722</v>
      </c>
      <c r="G29" s="321" t="n">
        <v>0.03</v>
      </c>
      <c r="H29" s="322" t="n">
        <f aca="false">$D$8</f>
        <v>46661</v>
      </c>
      <c r="I29" s="323" t="n">
        <f aca="false">IF(OR($D29="",$E29="",NOT(ISNUMBER($D29))),"",IF(AND($E29&lt;=I$10,IF($F29="",$X$10,$F29)&gt;=I$10),$D29/12*(1+N($G29))^IF(AND(ISNUMBER($H29),I$10&gt;=$H29),1+INT(DATEDIF($H29,I$10,"m")/12),0),0))</f>
        <v>5546.66666666667</v>
      </c>
      <c r="J29" s="323" t="n">
        <f aca="false">IF(OR($D29="",$E29="",NOT(ISNUMBER($D29))),"",IF(AND($E29&lt;=J$10,IF($F29="",$X$10,$F29)&gt;=J$10),$D29/12*(1+N($G29))^IF(AND(ISNUMBER($H29),J$10&gt;=$H29),1+INT(DATEDIF($H29,J$10,"m")/12),0),0))</f>
        <v>5546.66666666667</v>
      </c>
      <c r="K29" s="323" t="n">
        <f aca="false">IF(OR($D29="",$E29="",NOT(ISNUMBER($D29))),"",IF(AND($E29&lt;=K$10,IF($F29="",$X$10,$F29)&gt;=K$10),$D29/12*(1+N($G29))^IF(AND(ISNUMBER($H29),K$10&gt;=$H29),1+INT(DATEDIF($H29,K$10,"m")/12),0),0))</f>
        <v>5546.66666666667</v>
      </c>
      <c r="L29" s="323" t="n">
        <f aca="false">IF(OR($D29="",$E29="",NOT(ISNUMBER($D29))),"",IF(AND($E29&lt;=L$10,IF($F29="",$X$10,$F29)&gt;=L$10),$D29/12*(1+N($G29))^IF(AND(ISNUMBER($H29),L$10&gt;=$H29),1+INT(DATEDIF($H29,L$10,"m")/12),0),0))</f>
        <v>5546.66666666667</v>
      </c>
      <c r="M29" s="323" t="n">
        <f aca="false">IF(OR($D29="",$E29="",NOT(ISNUMBER($D29))),"",IF(AND($E29&lt;=M$10,IF($F29="",$X$10,$F29)&gt;=M$10),$D29/12*(1+N($G29))^IF(AND(ISNUMBER($H29),M$10&gt;=$H29),1+INT(DATEDIF($H29,M$10,"m")/12),0),0))</f>
        <v>5546.66666666667</v>
      </c>
      <c r="N29" s="323" t="n">
        <f aca="false">IF(OR($D29="",$E29="",NOT(ISNUMBER($D29))),"",IF(AND($E29&lt;=N$10,IF($F29="",$X$10,$F29)&gt;=N$10),$D29/12*(1+N($G29))^IF(AND(ISNUMBER($H29),N$10&gt;=$H29),1+INT(DATEDIF($H29,N$10,"m")/12),0),0))</f>
        <v>5546.66666666667</v>
      </c>
      <c r="O29" s="323" t="n">
        <f aca="false">IF(OR($D29="",$E29="",NOT(ISNUMBER($D29))),"",IF(AND($E29&lt;=O$10,IF($F29="",$X$10,$F29)&gt;=O$10),$D29/12*(1+N($G29))^IF(AND(ISNUMBER($H29),O$10&gt;=$H29),1+INT(DATEDIF($H29,O$10,"m")/12),0),0))</f>
        <v>5546.66666666667</v>
      </c>
      <c r="P29" s="323" t="n">
        <f aca="false">IF(OR($D29="",$E29="",NOT(ISNUMBER($D29))),"",IF(AND($E29&lt;=P$10,IF($F29="",$X$10,$F29)&gt;=P$10),$D29/12*(1+N($G29))^IF(AND(ISNUMBER($H29),P$10&gt;=$H29),1+INT(DATEDIF($H29,P$10,"m")/12),0),0))</f>
        <v>5546.66666666667</v>
      </c>
      <c r="Q29" s="323" t="n">
        <f aca="false">IF(OR($D29="",$E29="",NOT(ISNUMBER($D29))),"",IF(AND($E29&lt;=Q$10,IF($F29="",$X$10,$F29)&gt;=Q$10),$D29/12*(1+N($G29))^IF(AND(ISNUMBER($H29),Q$10&gt;=$H29),1+INT(DATEDIF($H29,Q$10,"m")/12),0),0))</f>
        <v>5546.66666666667</v>
      </c>
      <c r="R29" s="323" t="n">
        <f aca="false">IF(OR($D29="",$E29="",NOT(ISNUMBER($D29))),"",IF(AND($E29&lt;=R$10,IF($F29="",$X$10,$F29)&gt;=R$10),$D29/12*(1+N($G29))^IF(AND(ISNUMBER($H29),R$10&gt;=$H29),1+INT(DATEDIF($H29,R$10,"m")/12),0),0))</f>
        <v>5546.66666666667</v>
      </c>
      <c r="S29" s="323" t="n">
        <f aca="false">IF(OR($D29="",$E29="",NOT(ISNUMBER($D29))),"",IF(AND($E29&lt;=S$10,IF($F29="",$X$10,$F29)&gt;=S$10),$D29/12*(1+N($G29))^IF(AND(ISNUMBER($H29),S$10&gt;=$H29),1+INT(DATEDIF($H29,S$10,"m")/12),0),0))</f>
        <v>5546.66666666667</v>
      </c>
      <c r="T29" s="323" t="n">
        <f aca="false">IF(OR($D29="",$E29="",NOT(ISNUMBER($D29))),"",IF(AND($E29&lt;=T$10,IF($F29="",$X$10,$F29)&gt;=T$10),$D29/12*(1+N($G29))^IF(AND(ISNUMBER($H29),T$10&gt;=$H29),1+INT(DATEDIF($H29,T$10,"m")/12),0),0))</f>
        <v>5546.66666666667</v>
      </c>
      <c r="U29" s="323" t="n">
        <f aca="false">IF(OR($D29="",$E29="",NOT(ISNUMBER($D29))),"",IF(AND($E29&lt;=U$10,IF($F29="",$X$10,$F29)&gt;=U$10),$D29/12*(1+N($G29))^IF(AND(ISNUMBER($H29),U$10&gt;=$H29),1+INT(DATEDIF($H29,U$10,"m")/12),0),0))</f>
        <v>5546.66666666667</v>
      </c>
      <c r="V29" s="323" t="n">
        <f aca="false">IF(OR($D29="",$E29="",NOT(ISNUMBER($D29))),"",IF(AND($E29&lt;=V$10,IF($F29="",$X$10,$F29)&gt;=V$10),$D29/12*(1+N($G29))^IF(AND(ISNUMBER($H29),V$10&gt;=$H29),1+INT(DATEDIF($H29,V$10,"m")/12),0),0))</f>
        <v>5713.06666666667</v>
      </c>
      <c r="W29" s="323" t="n">
        <f aca="false">IF(OR($D29="",$E29="",NOT(ISNUMBER($D29))),"",IF(AND($E29&lt;=W$10,IF($F29="",$X$10,$F29)&gt;=W$10),$D29/12*(1+N($G29))^IF(AND(ISNUMBER($H29),W$10&gt;=$H29),1+INT(DATEDIF($H29,W$10,"m")/12),0),0))</f>
        <v>5713.06666666667</v>
      </c>
      <c r="X29" s="323" t="n">
        <f aca="false">IF(OR($D29="",$E29="",NOT(ISNUMBER($D29))),"",IF(AND($E29&lt;=X$10,IF($F29="",$X$10,$F29)&gt;=X$10),$D29/12*(1+N($G29))^IF(AND(ISNUMBER($H29),X$10&gt;=$H29),1+INT(DATEDIF($H29,X$10,"m")/12),0),0))</f>
        <v>5713.06666666667</v>
      </c>
      <c r="Y29" s="323"/>
      <c r="Z29" s="323" t="n">
        <f aca="false">SUM(M29:X29)</f>
        <v>67059.2</v>
      </c>
      <c r="AB29" s="325" t="str">
        <f aca="false">IF($D29&amp;$E29="","",IF(AND($D29&lt;&gt;"",NOT(ISNUMBER($D29))),"Salary must be a number",IF(AND($D29&lt;&gt;"",$E29=""),"Start month missing",IF(AND(ISNUMBER($E29),ISNUMBER($F29),$F29&lt;$E29),"End is before Start",IF(AND($D29&lt;&gt;"",NOT(ISNUMBER($H29))),"Increase month missing","")))))</f>
        <v/>
      </c>
    </row>
    <row r="30" customFormat="false" ht="14.4" hidden="false" customHeight="fals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4" hidden="false" customHeight="fals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4" hidden="false" customHeight="fals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4" hidden="false" customHeight="fals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4" hidden="false" customHeight="false" outlineLevel="0" collapsed="false">
      <c r="B34" s="317" t="s">
        <v>3067</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4" hidden="false" customHeight="fals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4" hidden="false" customHeight="fals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4" hidden="false" customHeight="fals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4" hidden="false" customHeight="fals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4" hidden="false" customHeight="fals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4" hidden="false" customHeight="false" outlineLevel="0" collapsed="false">
      <c r="B40" s="317" t="s">
        <v>3068</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4" hidden="false" customHeight="false" outlineLevel="0" collapsed="false">
      <c r="B41" s="318"/>
      <c r="C41" s="318"/>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4" hidden="false" customHeight="fals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4" hidden="false" customHeight="fals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4" hidden="false" customHeight="fals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4" hidden="false" customHeight="fals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4" hidden="false" customHeight="fals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4" hidden="false" customHeight="fals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4" hidden="false" customHeight="fals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4" hidden="false" customHeight="fals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4" hidden="false" customHeight="fals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4" hidden="false" customHeight="false" outlineLevel="0" collapsed="false">
      <c r="A51" s="328" t="s">
        <v>3069</v>
      </c>
      <c r="B51" s="317" t="s">
        <v>3070</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4" hidden="false" customHeight="fals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4" hidden="false" customHeight="fals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4" hidden="false" customHeight="fals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4" hidden="false" customHeight="fals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4" hidden="false" customHeight="fals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4" hidden="false" customHeight="fals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4" hidden="false" customHeight="false" outlineLevel="0" collapsed="false">
      <c r="A58" s="328" t="s">
        <v>3071</v>
      </c>
      <c r="B58" s="317" t="s">
        <v>3072</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4" hidden="false" customHeight="fals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4" hidden="false" customHeight="fals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4" hidden="false" customHeight="fals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4" hidden="false" customHeight="fals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4" hidden="false" customHeight="fals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4" hidden="false" customHeight="fals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4" hidden="false" customHeight="fals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4" hidden="false" customHeight="fals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4" hidden="false" customHeight="false" outlineLevel="0" collapsed="false">
      <c r="B67" s="342" t="s">
        <v>3073</v>
      </c>
      <c r="C67" s="342"/>
      <c r="D67" s="343"/>
      <c r="E67" s="344"/>
      <c r="F67" s="344"/>
      <c r="G67" s="344"/>
      <c r="H67" s="344"/>
      <c r="I67" s="345" t="n">
        <f aca="false">SUM(I14:I57)</f>
        <v>90012.5833333333</v>
      </c>
      <c r="J67" s="345" t="n">
        <f aca="false">SUM(J14:J57)</f>
        <v>90012.5833333333</v>
      </c>
      <c r="K67" s="345" t="n">
        <f aca="false">SUM(K14:K57)</f>
        <v>90012.5833333333</v>
      </c>
      <c r="L67" s="345" t="n">
        <f aca="false">SUM(L14:L57)</f>
        <v>90012.5833333333</v>
      </c>
      <c r="M67" s="345" t="n">
        <f aca="false">SUM(M14:M57)</f>
        <v>90012.5833333333</v>
      </c>
      <c r="N67" s="345" t="n">
        <f aca="false">SUM(N14:N57)</f>
        <v>90012.5833333333</v>
      </c>
      <c r="O67" s="345" t="n">
        <f aca="false">SUM(O14:O57)</f>
        <v>90012.5833333333</v>
      </c>
      <c r="P67" s="345" t="n">
        <f aca="false">SUM(P14:P57)</f>
        <v>90012.5833333333</v>
      </c>
      <c r="Q67" s="345" t="n">
        <f aca="false">SUM(Q14:Q57)</f>
        <v>90012.5833333333</v>
      </c>
      <c r="R67" s="345" t="n">
        <f aca="false">SUM(R14:R57)</f>
        <v>90012.5833333333</v>
      </c>
      <c r="S67" s="345" t="n">
        <f aca="false">SUM(S14:S57)</f>
        <v>90012.5833333333</v>
      </c>
      <c r="T67" s="345" t="n">
        <f aca="false">SUM(T14:T57)</f>
        <v>90012.5833333333</v>
      </c>
      <c r="U67" s="345" t="n">
        <f aca="false">SUM(U14:U57)</f>
        <v>90012.5833333333</v>
      </c>
      <c r="V67" s="345" t="n">
        <f aca="false">SUM(V14:V57)</f>
        <v>92712.9608333333</v>
      </c>
      <c r="W67" s="345" t="n">
        <f aca="false">SUM(W14:W57)</f>
        <v>92712.9608333333</v>
      </c>
      <c r="X67" s="345" t="n">
        <f aca="false">SUM(X14:X57)</f>
        <v>92712.9608333333</v>
      </c>
      <c r="Y67" s="346"/>
      <c r="Z67" s="345" t="n">
        <f aca="false">SUM(M67:X67)</f>
        <v>1088252.1325</v>
      </c>
    </row>
    <row r="68" customFormat="false" ht="14.4" hidden="false" customHeight="false" outlineLevel="0" collapsed="false">
      <c r="B68" s="342" t="s">
        <v>2288</v>
      </c>
      <c r="C68" s="342"/>
      <c r="D68" s="343"/>
      <c r="E68" s="344"/>
      <c r="F68" s="344"/>
      <c r="G68" s="344"/>
      <c r="H68" s="344"/>
      <c r="I68" s="345" t="n">
        <f aca="false">I67*$D$6</f>
        <v>6163.24335100372</v>
      </c>
      <c r="J68" s="345" t="n">
        <f aca="false">J67*$D$6</f>
        <v>6163.24335100372</v>
      </c>
      <c r="K68" s="345" t="n">
        <f aca="false">K67*$D$6</f>
        <v>6163.24335100372</v>
      </c>
      <c r="L68" s="345" t="n">
        <f aca="false">L67*$D$6</f>
        <v>6163.24335100372</v>
      </c>
      <c r="M68" s="345" t="n">
        <f aca="false">M67*$D$6</f>
        <v>6163.24335100372</v>
      </c>
      <c r="N68" s="345" t="n">
        <f aca="false">N67*$D$6</f>
        <v>6163.24335100372</v>
      </c>
      <c r="O68" s="345" t="n">
        <f aca="false">O67*$D$6</f>
        <v>6163.24335100372</v>
      </c>
      <c r="P68" s="345" t="n">
        <f aca="false">P67*$D$6</f>
        <v>6163.24335100372</v>
      </c>
      <c r="Q68" s="345" t="n">
        <f aca="false">Q67*$D$6</f>
        <v>6163.24335100372</v>
      </c>
      <c r="R68" s="345" t="n">
        <f aca="false">R67*$D$6</f>
        <v>6163.24335100372</v>
      </c>
      <c r="S68" s="345" t="n">
        <f aca="false">S67*$D$6</f>
        <v>6163.24335100372</v>
      </c>
      <c r="T68" s="345" t="n">
        <f aca="false">T67*$D$6</f>
        <v>6163.24335100372</v>
      </c>
      <c r="U68" s="345" t="n">
        <f aca="false">U67*$D$6</f>
        <v>6163.24335100372</v>
      </c>
      <c r="V68" s="345" t="n">
        <f aca="false">V67*$D$6</f>
        <v>6348.14065153383</v>
      </c>
      <c r="W68" s="345" t="n">
        <f aca="false">W67*$D$6</f>
        <v>6348.14065153383</v>
      </c>
      <c r="X68" s="345" t="n">
        <f aca="false">X67*$D$6</f>
        <v>6348.14065153383</v>
      </c>
      <c r="Y68" s="346"/>
      <c r="Z68" s="345" t="n">
        <f aca="false">SUM(M68:X68)</f>
        <v>74513.612113635</v>
      </c>
    </row>
    <row r="69" customFormat="false" ht="14.4" hidden="false" customHeight="false" outlineLevel="0" collapsed="false">
      <c r="B69" s="342" t="s">
        <v>2289</v>
      </c>
      <c r="C69" s="342"/>
      <c r="D69" s="343"/>
      <c r="E69" s="344"/>
      <c r="F69" s="344"/>
      <c r="G69" s="344"/>
      <c r="H69" s="344"/>
      <c r="I69" s="345" t="n">
        <f aca="false">I67*$D$7</f>
        <v>14766.8980188356</v>
      </c>
      <c r="J69" s="345" t="n">
        <f aca="false">J67*$D$7</f>
        <v>14766.8980188356</v>
      </c>
      <c r="K69" s="345" t="n">
        <f aca="false">K67*$D$7</f>
        <v>14766.8980188356</v>
      </c>
      <c r="L69" s="345" t="n">
        <f aca="false">L67*$D$7</f>
        <v>14766.8980188356</v>
      </c>
      <c r="M69" s="345" t="n">
        <f aca="false">M67*$D$7</f>
        <v>14766.8980188356</v>
      </c>
      <c r="N69" s="345" t="n">
        <f aca="false">N67*$D$7</f>
        <v>14766.8980188356</v>
      </c>
      <c r="O69" s="345" t="n">
        <f aca="false">O67*$D$7</f>
        <v>14766.8980188356</v>
      </c>
      <c r="P69" s="345" t="n">
        <f aca="false">P67*$D$7</f>
        <v>14766.8980188356</v>
      </c>
      <c r="Q69" s="345" t="n">
        <f aca="false">Q67*$D$7</f>
        <v>14766.8980188356</v>
      </c>
      <c r="R69" s="345" t="n">
        <f aca="false">R67*$D$7</f>
        <v>14766.8980188356</v>
      </c>
      <c r="S69" s="345" t="n">
        <f aca="false">S67*$D$7</f>
        <v>14766.8980188356</v>
      </c>
      <c r="T69" s="345" t="n">
        <f aca="false">T67*$D$7</f>
        <v>14766.8980188356</v>
      </c>
      <c r="U69" s="345" t="n">
        <f aca="false">U67*$D$7</f>
        <v>14766.8980188356</v>
      </c>
      <c r="V69" s="345" t="n">
        <f aca="false">V67*$D$7</f>
        <v>15209.9049594006</v>
      </c>
      <c r="W69" s="345" t="n">
        <f aca="false">W67*$D$7</f>
        <v>15209.9049594006</v>
      </c>
      <c r="X69" s="345" t="n">
        <f aca="false">X67*$D$7</f>
        <v>15209.9049594006</v>
      </c>
      <c r="Y69" s="346"/>
      <c r="Z69" s="345" t="n">
        <f aca="false">SUM(M69:X69)</f>
        <v>178531.797047722</v>
      </c>
    </row>
    <row r="70" customFormat="false" ht="14.4" hidden="false" customHeight="false" outlineLevel="0" collapsed="false">
      <c r="B70" s="347" t="s">
        <v>3074</v>
      </c>
      <c r="C70" s="347"/>
      <c r="D70" s="348"/>
      <c r="E70" s="349"/>
      <c r="F70" s="349"/>
      <c r="G70" s="349"/>
      <c r="H70" s="349"/>
      <c r="I70" s="350" t="n">
        <f aca="false">SUM(I67:I69)</f>
        <v>110942.724703173</v>
      </c>
      <c r="J70" s="350" t="n">
        <f aca="false">SUM(J67:J69)</f>
        <v>110942.724703173</v>
      </c>
      <c r="K70" s="350" t="n">
        <f aca="false">SUM(K67:K69)</f>
        <v>110942.724703173</v>
      </c>
      <c r="L70" s="350" t="n">
        <f aca="false">SUM(L67:L69)</f>
        <v>110942.724703173</v>
      </c>
      <c r="M70" s="350" t="n">
        <f aca="false">SUM(M67:M69)</f>
        <v>110942.724703173</v>
      </c>
      <c r="N70" s="350" t="n">
        <f aca="false">SUM(N67:N69)</f>
        <v>110942.724703173</v>
      </c>
      <c r="O70" s="350" t="n">
        <f aca="false">SUM(O67:O69)</f>
        <v>110942.724703173</v>
      </c>
      <c r="P70" s="350" t="n">
        <f aca="false">SUM(P67:P69)</f>
        <v>110942.724703173</v>
      </c>
      <c r="Q70" s="350" t="n">
        <f aca="false">SUM(Q67:Q69)</f>
        <v>110942.724703173</v>
      </c>
      <c r="R70" s="350" t="n">
        <f aca="false">SUM(R67:R69)</f>
        <v>110942.724703173</v>
      </c>
      <c r="S70" s="350" t="n">
        <f aca="false">SUM(S67:S69)</f>
        <v>110942.724703173</v>
      </c>
      <c r="T70" s="350" t="n">
        <f aca="false">SUM(T67:T69)</f>
        <v>110942.724703173</v>
      </c>
      <c r="U70" s="350" t="n">
        <f aca="false">SUM(U67:U69)</f>
        <v>110942.724703173</v>
      </c>
      <c r="V70" s="350" t="n">
        <f aca="false">SUM(V67:V69)</f>
        <v>114271.006444268</v>
      </c>
      <c r="W70" s="350" t="n">
        <f aca="false">SUM(W67:W69)</f>
        <v>114271.006444268</v>
      </c>
      <c r="X70" s="350" t="n">
        <f aca="false">SUM(X67:X69)</f>
        <v>114271.006444268</v>
      </c>
      <c r="Y70" s="346"/>
      <c r="Z70" s="350" t="n">
        <f aca="false">SUM(M70:X70)</f>
        <v>1341297.54166136</v>
      </c>
    </row>
    <row r="71" customFormat="false" ht="14.4" hidden="false" customHeight="fals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18" activeCellId="0" sqref="A18"/>
    </sheetView>
  </sheetViews>
  <sheetFormatPr defaultColWidth="8.6796875" defaultRowHeight="14.4" zeroHeight="false" outlineLevelRow="0" outlineLevelCol="0"/>
  <cols>
    <col collapsed="false" customWidth="true" hidden="false" outlineLevel="0" max="1" min="1" style="288" width="19.44"/>
    <col collapsed="false" customWidth="true" hidden="false" outlineLevel="0" max="2" min="2" style="0" width="25.33"/>
    <col collapsed="false" customWidth="true" hidden="false" outlineLevel="0" max="3" min="3" style="0" width="32.77"/>
    <col collapsed="false" customWidth="true" hidden="false" outlineLevel="0" max="4" min="4" style="0"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0" width="9.21"/>
    <col collapsed="false" customWidth="true" hidden="false" outlineLevel="0" max="25" min="25" style="0" width="2.44"/>
    <col collapsed="false" customWidth="true" hidden="false" outlineLevel="0" max="26" min="26" style="0" width="11.77"/>
    <col collapsed="false" customWidth="true" hidden="false" outlineLevel="0" max="28" min="28" style="0" width="27.22"/>
  </cols>
  <sheetData>
    <row r="1" customFormat="false" ht="17.35" hidden="false" customHeight="false" outlineLevel="0" collapsed="false">
      <c r="A1" s="290" t="s">
        <v>3026</v>
      </c>
    </row>
    <row r="2" customFormat="false" ht="15.6" hidden="false" customHeight="false" outlineLevel="0" collapsed="false">
      <c r="A2" s="291" t="s">
        <v>3075</v>
      </c>
    </row>
    <row r="3" customFormat="false" ht="14.4" hidden="false" customHeight="false" outlineLevel="0" collapsed="false">
      <c r="A3" s="292" t="s">
        <v>3028</v>
      </c>
    </row>
    <row r="4" customFormat="false" ht="14.4" hidden="false" customHeight="false" outlineLevel="0" collapsed="false">
      <c r="A4" s="293" t="s">
        <v>3076</v>
      </c>
    </row>
    <row r="5" customFormat="false" ht="14.4" hidden="false" customHeight="false" outlineLevel="0" collapsed="false">
      <c r="B5" s="294" t="s">
        <v>3030</v>
      </c>
    </row>
    <row r="6" customFormat="false" ht="14.4" hidden="false" customHeight="false" outlineLevel="0" collapsed="false">
      <c r="B6" s="295" t="s">
        <v>3031</v>
      </c>
      <c r="D6" s="296" t="n">
        <v>0.0363688968844175</v>
      </c>
      <c r="E6" s="297"/>
    </row>
    <row r="7" customFormat="false" ht="14.4" hidden="false" customHeight="false" outlineLevel="0" collapsed="false">
      <c r="B7" s="295" t="s">
        <v>3032</v>
      </c>
      <c r="D7" s="298" t="n">
        <v>0.206362687019442</v>
      </c>
      <c r="E7" s="297"/>
    </row>
    <row r="8" customFormat="false" ht="14.4" hidden="false" customHeight="false" outlineLevel="0" collapsed="false">
      <c r="B8" s="295" t="s">
        <v>3033</v>
      </c>
      <c r="D8" s="299" t="n">
        <v>46661</v>
      </c>
      <c r="V8" s="300" t="s">
        <v>3034</v>
      </c>
    </row>
    <row r="9" customFormat="false" ht="14.4" hidden="false" customHeight="false" outlineLevel="0" collapsed="false">
      <c r="V9" s="300" t="s">
        <v>3035</v>
      </c>
    </row>
    <row r="10" s="309" customFormat="true" ht="29.55" hidden="false" customHeight="true" outlineLevel="0" collapsed="false">
      <c r="A10" s="301"/>
      <c r="B10" s="302" t="s">
        <v>3036</v>
      </c>
      <c r="C10" s="302" t="s">
        <v>3037</v>
      </c>
      <c r="D10" s="303" t="s">
        <v>3038</v>
      </c>
      <c r="E10" s="303" t="s">
        <v>3039</v>
      </c>
      <c r="F10" s="303" t="s">
        <v>3040</v>
      </c>
      <c r="G10" s="304" t="s">
        <v>3041</v>
      </c>
      <c r="H10" s="304" t="s">
        <v>3042</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3043</v>
      </c>
      <c r="AB10" s="310" t="s">
        <v>3044</v>
      </c>
    </row>
    <row r="11" customFormat="false" ht="14.4" hidden="false" customHeight="false" outlineLevel="0" collapsed="false">
      <c r="E11" s="311" t="s">
        <v>3045</v>
      </c>
      <c r="F11" s="311" t="s">
        <v>3045</v>
      </c>
      <c r="G11" s="312"/>
      <c r="H11" s="354" t="s">
        <v>3046</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4" hidden="false" customHeight="fals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4" hidden="false" customHeight="false" outlineLevel="0" collapsed="false">
      <c r="B13" s="317" t="s">
        <v>3047</v>
      </c>
    </row>
    <row r="14" customFormat="false" ht="14.4" hidden="false" customHeight="false" outlineLevel="0" collapsed="false">
      <c r="B14" s="318" t="s">
        <v>3077</v>
      </c>
      <c r="C14" s="318" t="s">
        <v>3078</v>
      </c>
      <c r="D14" s="319" t="n">
        <v>67891</v>
      </c>
      <c r="E14" s="320" t="n">
        <v>46266</v>
      </c>
      <c r="F14" s="320" t="n">
        <v>46722</v>
      </c>
      <c r="G14" s="321" t="n">
        <v>0.03</v>
      </c>
      <c r="H14" s="322" t="n">
        <f aca="false">$D$8</f>
        <v>46661</v>
      </c>
      <c r="I14" s="323" t="n">
        <f aca="false">IF(OR($D14="",$E14="",NOT(ISNUMBER($D14))),"",IF(AND($E14&lt;=I$10,IF($F14="",$X$10,$F14)&gt;=I$10),$D14/12*(1+N($G14))^IF(AND(ISNUMBER($H14),I$10&gt;=$H14),1+INT(DATEDIF($H14,I$10,"m")/12),0),0))</f>
        <v>5657.58333333333</v>
      </c>
      <c r="J14" s="323" t="n">
        <f aca="false">IF(OR($D14="",$E14="",NOT(ISNUMBER($D14))),"",IF(AND($E14&lt;=J$10,IF($F14="",$X$10,$F14)&gt;=J$10),$D14/12*(1+N($G14))^IF(AND(ISNUMBER($H14),J$10&gt;=$H14),1+INT(DATEDIF($H14,J$10,"m")/12),0),0))</f>
        <v>5657.58333333333</v>
      </c>
      <c r="K14" s="323" t="n">
        <f aca="false">IF(OR($D14="",$E14="",NOT(ISNUMBER($D14))),"",IF(AND($E14&lt;=K$10,IF($F14="",$X$10,$F14)&gt;=K$10),$D14/12*(1+N($G14))^IF(AND(ISNUMBER($H14),K$10&gt;=$H14),1+INT(DATEDIF($H14,K$10,"m")/12),0),0))</f>
        <v>5657.58333333333</v>
      </c>
      <c r="L14" s="323" t="n">
        <f aca="false">IF(OR($D14="",$E14="",NOT(ISNUMBER($D14))),"",IF(AND($E14&lt;=L$10,IF($F14="",$X$10,$F14)&gt;=L$10),$D14/12*(1+N($G14))^IF(AND(ISNUMBER($H14),L$10&gt;=$H14),1+INT(DATEDIF($H14,L$10,"m")/12),0),0))</f>
        <v>5657.58333333333</v>
      </c>
      <c r="M14" s="324" t="n">
        <f aca="false">IF(OR($D14="",$E14="",NOT(ISNUMBER($D14))),"",IF(AND($E14&lt;=M$10,IF($F14="",$X$10,$F14)&gt;=M$10),$D14/12*(1+N($G14))^IF(AND(ISNUMBER($H14),M$10&gt;=$H14),1+INT(DATEDIF($H14,M$10,"m")/12),0),0))</f>
        <v>5657.58333333333</v>
      </c>
      <c r="N14" s="323" t="n">
        <f aca="false">IF(OR($D14="",$E14="",NOT(ISNUMBER($D14))),"",IF(AND($E14&lt;=N$10,IF($F14="",$X$10,$F14)&gt;=N$10),$D14/12*(1+N($G14))^IF(AND(ISNUMBER($H14),N$10&gt;=$H14),1+INT(DATEDIF($H14,N$10,"m")/12),0),0))</f>
        <v>5657.58333333333</v>
      </c>
      <c r="O14" s="323" t="n">
        <f aca="false">IF(OR($D14="",$E14="",NOT(ISNUMBER($D14))),"",IF(AND($E14&lt;=O$10,IF($F14="",$X$10,$F14)&gt;=O$10),$D14/12*(1+N($G14))^IF(AND(ISNUMBER($H14),O$10&gt;=$H14),1+INT(DATEDIF($H14,O$10,"m")/12),0),0))</f>
        <v>5657.58333333333</v>
      </c>
      <c r="P14" s="323" t="n">
        <f aca="false">IF(OR($D14="",$E14="",NOT(ISNUMBER($D14))),"",IF(AND($E14&lt;=P$10,IF($F14="",$X$10,$F14)&gt;=P$10),$D14/12*(1+N($G14))^IF(AND(ISNUMBER($H14),P$10&gt;=$H14),1+INT(DATEDIF($H14,P$10,"m")/12),0),0))</f>
        <v>5657.58333333333</v>
      </c>
      <c r="Q14" s="323" t="n">
        <f aca="false">IF(OR($D14="",$E14="",NOT(ISNUMBER($D14))),"",IF(AND($E14&lt;=Q$10,IF($F14="",$X$10,$F14)&gt;=Q$10),$D14/12*(1+N($G14))^IF(AND(ISNUMBER($H14),Q$10&gt;=$H14),1+INT(DATEDIF($H14,Q$10,"m")/12),0),0))</f>
        <v>5657.58333333333</v>
      </c>
      <c r="R14" s="323" t="n">
        <f aca="false">IF(OR($D14="",$E14="",NOT(ISNUMBER($D14))),"",IF(AND($E14&lt;=R$10,IF($F14="",$X$10,$F14)&gt;=R$10),$D14/12*(1+N($G14))^IF(AND(ISNUMBER($H14),R$10&gt;=$H14),1+INT(DATEDIF($H14,R$10,"m")/12),0),0))</f>
        <v>5657.58333333333</v>
      </c>
      <c r="S14" s="323" t="n">
        <f aca="false">IF(OR($D14="",$E14="",NOT(ISNUMBER($D14))),"",IF(AND($E14&lt;=S$10,IF($F14="",$X$10,$F14)&gt;=S$10),$D14/12*(1+N($G14))^IF(AND(ISNUMBER($H14),S$10&gt;=$H14),1+INT(DATEDIF($H14,S$10,"m")/12),0),0))</f>
        <v>5657.58333333333</v>
      </c>
      <c r="T14" s="323" t="n">
        <f aca="false">IF(OR($D14="",$E14="",NOT(ISNUMBER($D14))),"",IF(AND($E14&lt;=T$10,IF($F14="",$X$10,$F14)&gt;=T$10),$D14/12*(1+N($G14))^IF(AND(ISNUMBER($H14),T$10&gt;=$H14),1+INT(DATEDIF($H14,T$10,"m")/12),0),0))</f>
        <v>5657.58333333333</v>
      </c>
      <c r="U14" s="323" t="n">
        <f aca="false">IF(OR($D14="",$E14="",NOT(ISNUMBER($D14))),"",IF(AND($E14&lt;=U$10,IF($F14="",$X$10,$F14)&gt;=U$10),$D14/12*(1+N($G14))^IF(AND(ISNUMBER($H14),U$10&gt;=$H14),1+INT(DATEDIF($H14,U$10,"m")/12),0),0))</f>
        <v>5657.58333333333</v>
      </c>
      <c r="V14" s="323" t="n">
        <f aca="false">IF(OR($D14="",$E14="",NOT(ISNUMBER($D14))),"",IF(AND($E14&lt;=V$10,IF($F14="",$X$10,$F14)&gt;=V$10),$D14/12*(1+N($G14))^IF(AND(ISNUMBER($H14),V$10&gt;=$H14),1+INT(DATEDIF($H14,V$10,"m")/12),0),0))</f>
        <v>5827.31083333333</v>
      </c>
      <c r="W14" s="323" t="n">
        <f aca="false">IF(OR($D14="",$E14="",NOT(ISNUMBER($D14))),"",IF(AND($E14&lt;=W$10,IF($F14="",$X$10,$F14)&gt;=W$10),$D14/12*(1+N($G14))^IF(AND(ISNUMBER($H14),W$10&gt;=$H14),1+INT(DATEDIF($H14,W$10,"m")/12),0),0))</f>
        <v>5827.31083333333</v>
      </c>
      <c r="X14" s="323" t="n">
        <f aca="false">IF(OR($D14="",$E14="",NOT(ISNUMBER($D14))),"",IF(AND($E14&lt;=X$10,IF($F14="",$X$10,$F14)&gt;=X$10),$D14/12*(1+N($G14))^IF(AND(ISNUMBER($H14),X$10&gt;=$H14),1+INT(DATEDIF($H14,X$10,"m")/12),0),0))</f>
        <v>5827.31083333333</v>
      </c>
      <c r="Y14" s="323"/>
      <c r="Z14" s="323" t="n">
        <f aca="false">SUM(M14:X14)</f>
        <v>68400.1825</v>
      </c>
      <c r="AB14" s="325" t="str">
        <f aca="false">IF($D14&amp;$E14="","",IF(AND($D14&lt;&gt;"",NOT(ISNUMBER($D14))),"Salary must be a number",IF(AND($D14&lt;&gt;"",$E14=""),"Start month missing",IF(AND(ISNUMBER($E14),ISNUMBER($F14),$F14&lt;$E14),"End is before Start",IF(AND($D14&lt;&gt;"",NOT(ISNUMBER($H14))),"Increase month missing","")))))</f>
        <v/>
      </c>
    </row>
    <row r="15" customFormat="false" ht="14.4" hidden="false" customHeight="false" outlineLevel="0" collapsed="false">
      <c r="A15" s="288" t="s">
        <v>3079</v>
      </c>
      <c r="B15" s="318" t="s">
        <v>3080</v>
      </c>
      <c r="C15" s="318" t="s">
        <v>3078</v>
      </c>
      <c r="D15" s="319" t="n">
        <v>68810</v>
      </c>
      <c r="E15" s="320" t="n">
        <v>46266</v>
      </c>
      <c r="F15" s="320" t="n">
        <v>46722</v>
      </c>
      <c r="G15" s="321" t="n">
        <v>0.03</v>
      </c>
      <c r="H15" s="322" t="n">
        <f aca="false">$D$8</f>
        <v>46661</v>
      </c>
      <c r="I15" s="323" t="n">
        <f aca="false">IF(OR($D15="",$E15="",NOT(ISNUMBER($D15))),"",IF(AND($E15&lt;=I$10,IF($F15="",$X$10,$F15)&gt;=I$10),$D15/12*(1+N($G15))^IF(AND(ISNUMBER($H15),I$10&gt;=$H15),1+INT(DATEDIF($H15,I$10,"m")/12),0),0))</f>
        <v>5734.16666666667</v>
      </c>
      <c r="J15" s="323" t="n">
        <f aca="false">IF(OR($D15="",$E15="",NOT(ISNUMBER($D15))),"",IF(AND($E15&lt;=J$10,IF($F15="",$X$10,$F15)&gt;=J$10),$D15/12*(1+N($G15))^IF(AND(ISNUMBER($H15),J$10&gt;=$H15),1+INT(DATEDIF($H15,J$10,"m")/12),0),0))</f>
        <v>5734.16666666667</v>
      </c>
      <c r="K15" s="323" t="n">
        <f aca="false">IF(OR($D15="",$E15="",NOT(ISNUMBER($D15))),"",IF(AND($E15&lt;=K$10,IF($F15="",$X$10,$F15)&gt;=K$10),$D15/12*(1+N($G15))^IF(AND(ISNUMBER($H15),K$10&gt;=$H15),1+INT(DATEDIF($H15,K$10,"m")/12),0),0))</f>
        <v>5734.16666666667</v>
      </c>
      <c r="L15" s="323" t="n">
        <f aca="false">IF(OR($D15="",$E15="",NOT(ISNUMBER($D15))),"",IF(AND($E15&lt;=L$10,IF($F15="",$X$10,$F15)&gt;=L$10),$D15/12*(1+N($G15))^IF(AND(ISNUMBER($H15),L$10&gt;=$H15),1+INT(DATEDIF($H15,L$10,"m")/12),0),0))</f>
        <v>5734.16666666667</v>
      </c>
      <c r="M15" s="323" t="n">
        <f aca="false">IF(OR($D15="",$E15="",NOT(ISNUMBER($D15))),"",IF(AND($E15&lt;=M$10,IF($F15="",$X$10,$F15)&gt;=M$10),$D15/12*(1+N($G15))^IF(AND(ISNUMBER($H15),M$10&gt;=$H15),1+INT(DATEDIF($H15,M$10,"m")/12),0),0))</f>
        <v>5734.16666666667</v>
      </c>
      <c r="N15" s="323" t="n">
        <f aca="false">IF(OR($D15="",$E15="",NOT(ISNUMBER($D15))),"",IF(AND($E15&lt;=N$10,IF($F15="",$X$10,$F15)&gt;=N$10),$D15/12*(1+N($G15))^IF(AND(ISNUMBER($H15),N$10&gt;=$H15),1+INT(DATEDIF($H15,N$10,"m")/12),0),0))</f>
        <v>5734.16666666667</v>
      </c>
      <c r="O15" s="323" t="n">
        <f aca="false">IF(OR($D15="",$E15="",NOT(ISNUMBER($D15))),"",IF(AND($E15&lt;=O$10,IF($F15="",$X$10,$F15)&gt;=O$10),$D15/12*(1+N($G15))^IF(AND(ISNUMBER($H15),O$10&gt;=$H15),1+INT(DATEDIF($H15,O$10,"m")/12),0),0))</f>
        <v>5734.16666666667</v>
      </c>
      <c r="P15" s="323" t="n">
        <f aca="false">IF(OR($D15="",$E15="",NOT(ISNUMBER($D15))),"",IF(AND($E15&lt;=P$10,IF($F15="",$X$10,$F15)&gt;=P$10),$D15/12*(1+N($G15))^IF(AND(ISNUMBER($H15),P$10&gt;=$H15),1+INT(DATEDIF($H15,P$10,"m")/12),0),0))</f>
        <v>5734.16666666667</v>
      </c>
      <c r="Q15" s="323" t="n">
        <f aca="false">IF(OR($D15="",$E15="",NOT(ISNUMBER($D15))),"",IF(AND($E15&lt;=Q$10,IF($F15="",$X$10,$F15)&gt;=Q$10),$D15/12*(1+N($G15))^IF(AND(ISNUMBER($H15),Q$10&gt;=$H15),1+INT(DATEDIF($H15,Q$10,"m")/12),0),0))</f>
        <v>5734.16666666667</v>
      </c>
      <c r="R15" s="323" t="n">
        <f aca="false">IF(OR($D15="",$E15="",NOT(ISNUMBER($D15))),"",IF(AND($E15&lt;=R$10,IF($F15="",$X$10,$F15)&gt;=R$10),$D15/12*(1+N($G15))^IF(AND(ISNUMBER($H15),R$10&gt;=$H15),1+INT(DATEDIF($H15,R$10,"m")/12),0),0))</f>
        <v>5734.16666666667</v>
      </c>
      <c r="S15" s="323" t="n">
        <f aca="false">IF(OR($D15="",$E15="",NOT(ISNUMBER($D15))),"",IF(AND($E15&lt;=S$10,IF($F15="",$X$10,$F15)&gt;=S$10),$D15/12*(1+N($G15))^IF(AND(ISNUMBER($H15),S$10&gt;=$H15),1+INT(DATEDIF($H15,S$10,"m")/12),0),0))</f>
        <v>5734.16666666667</v>
      </c>
      <c r="T15" s="323" t="n">
        <f aca="false">IF(OR($D15="",$E15="",NOT(ISNUMBER($D15))),"",IF(AND($E15&lt;=T$10,IF($F15="",$X$10,$F15)&gt;=T$10),$D15/12*(1+N($G15))^IF(AND(ISNUMBER($H15),T$10&gt;=$H15),1+INT(DATEDIF($H15,T$10,"m")/12),0),0))</f>
        <v>5734.16666666667</v>
      </c>
      <c r="U15" s="323" t="n">
        <f aca="false">IF(OR($D15="",$E15="",NOT(ISNUMBER($D15))),"",IF(AND($E15&lt;=U$10,IF($F15="",$X$10,$F15)&gt;=U$10),$D15/12*(1+N($G15))^IF(AND(ISNUMBER($H15),U$10&gt;=$H15),1+INT(DATEDIF($H15,U$10,"m")/12),0),0))</f>
        <v>5734.16666666667</v>
      </c>
      <c r="V15" s="323" t="n">
        <f aca="false">IF(OR($D15="",$E15="",NOT(ISNUMBER($D15))),"",IF(AND($E15&lt;=V$10,IF($F15="",$X$10,$F15)&gt;=V$10),$D15/12*(1+N($G15))^IF(AND(ISNUMBER($H15),V$10&gt;=$H15),1+INT(DATEDIF($H15,V$10,"m")/12),0),0))</f>
        <v>5906.19166666667</v>
      </c>
      <c r="W15" s="323" t="n">
        <f aca="false">IF(OR($D15="",$E15="",NOT(ISNUMBER($D15))),"",IF(AND($E15&lt;=W$10,IF($F15="",$X$10,$F15)&gt;=W$10),$D15/12*(1+N($G15))^IF(AND(ISNUMBER($H15),W$10&gt;=$H15),1+INT(DATEDIF($H15,W$10,"m")/12),0),0))</f>
        <v>5906.19166666667</v>
      </c>
      <c r="X15" s="323" t="n">
        <f aca="false">IF(OR($D15="",$E15="",NOT(ISNUMBER($D15))),"",IF(AND($E15&lt;=X$10,IF($F15="",$X$10,$F15)&gt;=X$10),$D15/12*(1+N($G15))^IF(AND(ISNUMBER($H15),X$10&gt;=$H15),1+INT(DATEDIF($H15,X$10,"m")/12),0),0))</f>
        <v>5906.19166666667</v>
      </c>
      <c r="Y15" s="323"/>
      <c r="Z15" s="323" t="n">
        <f aca="false">SUM(M15:X15)</f>
        <v>69326.075</v>
      </c>
      <c r="AB15" s="325" t="str">
        <f aca="false">IF($D15&amp;$E15="","",IF(AND($D15&lt;&gt;"",NOT(ISNUMBER($D15))),"Salary must be a number",IF(AND($D15&lt;&gt;"",$E15=""),"Start month missing",IF(AND(ISNUMBER($E15),ISNUMBER($F15),$F15&lt;$E15),"End is before Start",IF(AND($D15&lt;&gt;"",NOT(ISNUMBER($H15))),"Increase month missing","")))))</f>
        <v/>
      </c>
    </row>
    <row r="16" customFormat="false" ht="14.4" hidden="false" customHeight="false" outlineLevel="0" collapsed="false">
      <c r="B16" s="318" t="s">
        <v>3081</v>
      </c>
      <c r="C16" s="318" t="s">
        <v>3082</v>
      </c>
      <c r="D16" s="319" t="n">
        <v>57554</v>
      </c>
      <c r="E16" s="320" t="n">
        <v>46266</v>
      </c>
      <c r="F16" s="320" t="n">
        <v>46722</v>
      </c>
      <c r="G16" s="321" t="n">
        <v>0.03</v>
      </c>
      <c r="H16" s="322" t="n">
        <f aca="false">$D$8</f>
        <v>46661</v>
      </c>
      <c r="I16" s="323" t="n">
        <f aca="false">IF(OR($D16="",$E16="",NOT(ISNUMBER($D16))),"",IF(AND($E16&lt;=I$10,IF($F16="",$X$10,$F16)&gt;=I$10),$D16/12*(1+N($G16))^IF(AND(ISNUMBER($H16),I$10&gt;=$H16),1+INT(DATEDIF($H16,I$10,"m")/12),0),0))</f>
        <v>4796.16666666667</v>
      </c>
      <c r="J16" s="323" t="n">
        <f aca="false">IF(OR($D16="",$E16="",NOT(ISNUMBER($D16))),"",IF(AND($E16&lt;=J$10,IF($F16="",$X$10,$F16)&gt;=J$10),$D16/12*(1+N($G16))^IF(AND(ISNUMBER($H16),J$10&gt;=$H16),1+INT(DATEDIF($H16,J$10,"m")/12),0),0))</f>
        <v>4796.16666666667</v>
      </c>
      <c r="K16" s="323" t="n">
        <f aca="false">IF(OR($D16="",$E16="",NOT(ISNUMBER($D16))),"",IF(AND($E16&lt;=K$10,IF($F16="",$X$10,$F16)&gt;=K$10),$D16/12*(1+N($G16))^IF(AND(ISNUMBER($H16),K$10&gt;=$H16),1+INT(DATEDIF($H16,K$10,"m")/12),0),0))</f>
        <v>4796.16666666667</v>
      </c>
      <c r="L16" s="323" t="n">
        <f aca="false">IF(OR($D16="",$E16="",NOT(ISNUMBER($D16))),"",IF(AND($E16&lt;=L$10,IF($F16="",$X$10,$F16)&gt;=L$10),$D16/12*(1+N($G16))^IF(AND(ISNUMBER($H16),L$10&gt;=$H16),1+INT(DATEDIF($H16,L$10,"m")/12),0),0))</f>
        <v>4796.16666666667</v>
      </c>
      <c r="M16" s="323" t="n">
        <f aca="false">IF(OR($D16="",$E16="",NOT(ISNUMBER($D16))),"",IF(AND($E16&lt;=M$10,IF($F16="",$X$10,$F16)&gt;=M$10),$D16/12*(1+N($G16))^IF(AND(ISNUMBER($H16),M$10&gt;=$H16),1+INT(DATEDIF($H16,M$10,"m")/12),0),0))</f>
        <v>4796.16666666667</v>
      </c>
      <c r="N16" s="323" t="n">
        <f aca="false">IF(OR($D16="",$E16="",NOT(ISNUMBER($D16))),"",IF(AND($E16&lt;=N$10,IF($F16="",$X$10,$F16)&gt;=N$10),$D16/12*(1+N($G16))^IF(AND(ISNUMBER($H16),N$10&gt;=$H16),1+INT(DATEDIF($H16,N$10,"m")/12),0),0))</f>
        <v>4796.16666666667</v>
      </c>
      <c r="O16" s="323" t="n">
        <f aca="false">IF(OR($D16="",$E16="",NOT(ISNUMBER($D16))),"",IF(AND($E16&lt;=O$10,IF($F16="",$X$10,$F16)&gt;=O$10),$D16/12*(1+N($G16))^IF(AND(ISNUMBER($H16),O$10&gt;=$H16),1+INT(DATEDIF($H16,O$10,"m")/12),0),0))</f>
        <v>4796.16666666667</v>
      </c>
      <c r="P16" s="323" t="n">
        <f aca="false">IF(OR($D16="",$E16="",NOT(ISNUMBER($D16))),"",IF(AND($E16&lt;=P$10,IF($F16="",$X$10,$F16)&gt;=P$10),$D16/12*(1+N($G16))^IF(AND(ISNUMBER($H16),P$10&gt;=$H16),1+INT(DATEDIF($H16,P$10,"m")/12),0),0))</f>
        <v>4796.16666666667</v>
      </c>
      <c r="Q16" s="323" t="n">
        <f aca="false">IF(OR($D16="",$E16="",NOT(ISNUMBER($D16))),"",IF(AND($E16&lt;=Q$10,IF($F16="",$X$10,$F16)&gt;=Q$10),$D16/12*(1+N($G16))^IF(AND(ISNUMBER($H16),Q$10&gt;=$H16),1+INT(DATEDIF($H16,Q$10,"m")/12),0),0))</f>
        <v>4796.16666666667</v>
      </c>
      <c r="R16" s="323" t="n">
        <f aca="false">IF(OR($D16="",$E16="",NOT(ISNUMBER($D16))),"",IF(AND($E16&lt;=R$10,IF($F16="",$X$10,$F16)&gt;=R$10),$D16/12*(1+N($G16))^IF(AND(ISNUMBER($H16),R$10&gt;=$H16),1+INT(DATEDIF($H16,R$10,"m")/12),0),0))</f>
        <v>4796.16666666667</v>
      </c>
      <c r="S16" s="323" t="n">
        <f aca="false">IF(OR($D16="",$E16="",NOT(ISNUMBER($D16))),"",IF(AND($E16&lt;=S$10,IF($F16="",$X$10,$F16)&gt;=S$10),$D16/12*(1+N($G16))^IF(AND(ISNUMBER($H16),S$10&gt;=$H16),1+INT(DATEDIF($H16,S$10,"m")/12),0),0))</f>
        <v>4796.16666666667</v>
      </c>
      <c r="T16" s="323" t="n">
        <f aca="false">IF(OR($D16="",$E16="",NOT(ISNUMBER($D16))),"",IF(AND($E16&lt;=T$10,IF($F16="",$X$10,$F16)&gt;=T$10),$D16/12*(1+N($G16))^IF(AND(ISNUMBER($H16),T$10&gt;=$H16),1+INT(DATEDIF($H16,T$10,"m")/12),0),0))</f>
        <v>4796.16666666667</v>
      </c>
      <c r="U16" s="323" t="n">
        <f aca="false">IF(OR($D16="",$E16="",NOT(ISNUMBER($D16))),"",IF(AND($E16&lt;=U$10,IF($F16="",$X$10,$F16)&gt;=U$10),$D16/12*(1+N($G16))^IF(AND(ISNUMBER($H16),U$10&gt;=$H16),1+INT(DATEDIF($H16,U$10,"m")/12),0),0))</f>
        <v>4796.16666666667</v>
      </c>
      <c r="V16" s="323" t="n">
        <f aca="false">IF(OR($D16="",$E16="",NOT(ISNUMBER($D16))),"",IF(AND($E16&lt;=V$10,IF($F16="",$X$10,$F16)&gt;=V$10),$D16/12*(1+N($G16))^IF(AND(ISNUMBER($H16),V$10&gt;=$H16),1+INT(DATEDIF($H16,V$10,"m")/12),0),0))</f>
        <v>4940.05166666667</v>
      </c>
      <c r="W16" s="323" t="n">
        <f aca="false">IF(OR($D16="",$E16="",NOT(ISNUMBER($D16))),"",IF(AND($E16&lt;=W$10,IF($F16="",$X$10,$F16)&gt;=W$10),$D16/12*(1+N($G16))^IF(AND(ISNUMBER($H16),W$10&gt;=$H16),1+INT(DATEDIF($H16,W$10,"m")/12),0),0))</f>
        <v>4940.05166666667</v>
      </c>
      <c r="X16" s="323" t="n">
        <f aca="false">IF(OR($D16="",$E16="",NOT(ISNUMBER($D16))),"",IF(AND($E16&lt;=X$10,IF($F16="",$X$10,$F16)&gt;=X$10),$D16/12*(1+N($G16))^IF(AND(ISNUMBER($H16),X$10&gt;=$H16),1+INT(DATEDIF($H16,X$10,"m")/12),0),0))</f>
        <v>4940.05166666667</v>
      </c>
      <c r="Y16" s="323"/>
      <c r="Z16" s="323" t="n">
        <f aca="false">SUM(M16:X16)</f>
        <v>57985.655</v>
      </c>
      <c r="AB16" s="325" t="str">
        <f aca="false">IF($D16&amp;$E16="","",IF(AND($D16&lt;&gt;"",NOT(ISNUMBER($D16))),"Salary must be a number",IF(AND($D16&lt;&gt;"",$E16=""),"Start month missing",IF(AND(ISNUMBER($E16),ISNUMBER($F16),$F16&lt;$E16),"End is before Start",IF(AND($D16&lt;&gt;"",NOT(ISNUMBER($H16))),"Increase month missing","")))))</f>
        <v/>
      </c>
    </row>
    <row r="17" customFormat="false" ht="14.4" hidden="false" customHeight="false" outlineLevel="0" collapsed="false">
      <c r="B17" s="318" t="s">
        <v>3083</v>
      </c>
      <c r="C17" s="318" t="s">
        <v>3084</v>
      </c>
      <c r="D17" s="319" t="n">
        <v>64409</v>
      </c>
      <c r="E17" s="320" t="n">
        <v>46266</v>
      </c>
      <c r="F17" s="320" t="n">
        <v>46722</v>
      </c>
      <c r="G17" s="321" t="n">
        <v>0.03</v>
      </c>
      <c r="H17" s="322" t="n">
        <f aca="false">$D$8</f>
        <v>46661</v>
      </c>
      <c r="I17" s="323" t="n">
        <f aca="false">IF(OR($D17="",$E17="",NOT(ISNUMBER($D17))),"",IF(AND($E17&lt;=I$10,IF($F17="",$X$10,$F17)&gt;=I$10),$D17/12*(1+N($G17))^IF(AND(ISNUMBER($H17),I$10&gt;=$H17),1+INT(DATEDIF($H17,I$10,"m")/12),0),0))</f>
        <v>5367.41666666667</v>
      </c>
      <c r="J17" s="323" t="n">
        <f aca="false">IF(OR($D17="",$E17="",NOT(ISNUMBER($D17))),"",IF(AND($E17&lt;=J$10,IF($F17="",$X$10,$F17)&gt;=J$10),$D17/12*(1+N($G17))^IF(AND(ISNUMBER($H17),J$10&gt;=$H17),1+INT(DATEDIF($H17,J$10,"m")/12),0),0))</f>
        <v>5367.41666666667</v>
      </c>
      <c r="K17" s="323" t="n">
        <f aca="false">IF(OR($D17="",$E17="",NOT(ISNUMBER($D17))),"",IF(AND($E17&lt;=K$10,IF($F17="",$X$10,$F17)&gt;=K$10),$D17/12*(1+N($G17))^IF(AND(ISNUMBER($H17),K$10&gt;=$H17),1+INT(DATEDIF($H17,K$10,"m")/12),0),0))</f>
        <v>5367.41666666667</v>
      </c>
      <c r="L17" s="323" t="n">
        <f aca="false">IF(OR($D17="",$E17="",NOT(ISNUMBER($D17))),"",IF(AND($E17&lt;=L$10,IF($F17="",$X$10,$F17)&gt;=L$10),$D17/12*(1+N($G17))^IF(AND(ISNUMBER($H17),L$10&gt;=$H17),1+INT(DATEDIF($H17,L$10,"m")/12),0),0))</f>
        <v>5367.41666666667</v>
      </c>
      <c r="M17" s="323" t="n">
        <f aca="false">IF(OR($D17="",$E17="",NOT(ISNUMBER($D17))),"",IF(AND($E17&lt;=M$10,IF($F17="",$X$10,$F17)&gt;=M$10),$D17/12*(1+N($G17))^IF(AND(ISNUMBER($H17),M$10&gt;=$H17),1+INT(DATEDIF($H17,M$10,"m")/12),0),0))</f>
        <v>5367.41666666667</v>
      </c>
      <c r="N17" s="323" t="n">
        <f aca="false">IF(OR($D17="",$E17="",NOT(ISNUMBER($D17))),"",IF(AND($E17&lt;=N$10,IF($F17="",$X$10,$F17)&gt;=N$10),$D17/12*(1+N($G17))^IF(AND(ISNUMBER($H17),N$10&gt;=$H17),1+INT(DATEDIF($H17,N$10,"m")/12),0),0))</f>
        <v>5367.41666666667</v>
      </c>
      <c r="O17" s="323" t="n">
        <f aca="false">IF(OR($D17="",$E17="",NOT(ISNUMBER($D17))),"",IF(AND($E17&lt;=O$10,IF($F17="",$X$10,$F17)&gt;=O$10),$D17/12*(1+N($G17))^IF(AND(ISNUMBER($H17),O$10&gt;=$H17),1+INT(DATEDIF($H17,O$10,"m")/12),0),0))</f>
        <v>5367.41666666667</v>
      </c>
      <c r="P17" s="323" t="n">
        <f aca="false">IF(OR($D17="",$E17="",NOT(ISNUMBER($D17))),"",IF(AND($E17&lt;=P$10,IF($F17="",$X$10,$F17)&gt;=P$10),$D17/12*(1+N($G17))^IF(AND(ISNUMBER($H17),P$10&gt;=$H17),1+INT(DATEDIF($H17,P$10,"m")/12),0),0))</f>
        <v>5367.41666666667</v>
      </c>
      <c r="Q17" s="323" t="n">
        <f aca="false">IF(OR($D17="",$E17="",NOT(ISNUMBER($D17))),"",IF(AND($E17&lt;=Q$10,IF($F17="",$X$10,$F17)&gt;=Q$10),$D17/12*(1+N($G17))^IF(AND(ISNUMBER($H17),Q$10&gt;=$H17),1+INT(DATEDIF($H17,Q$10,"m")/12),0),0))</f>
        <v>5367.41666666667</v>
      </c>
      <c r="R17" s="323" t="n">
        <f aca="false">IF(OR($D17="",$E17="",NOT(ISNUMBER($D17))),"",IF(AND($E17&lt;=R$10,IF($F17="",$X$10,$F17)&gt;=R$10),$D17/12*(1+N($G17))^IF(AND(ISNUMBER($H17),R$10&gt;=$H17),1+INT(DATEDIF($H17,R$10,"m")/12),0),0))</f>
        <v>5367.41666666667</v>
      </c>
      <c r="S17" s="323" t="n">
        <f aca="false">IF(OR($D17="",$E17="",NOT(ISNUMBER($D17))),"",IF(AND($E17&lt;=S$10,IF($F17="",$X$10,$F17)&gt;=S$10),$D17/12*(1+N($G17))^IF(AND(ISNUMBER($H17),S$10&gt;=$H17),1+INT(DATEDIF($H17,S$10,"m")/12),0),0))</f>
        <v>5367.41666666667</v>
      </c>
      <c r="T17" s="323" t="n">
        <f aca="false">IF(OR($D17="",$E17="",NOT(ISNUMBER($D17))),"",IF(AND($E17&lt;=T$10,IF($F17="",$X$10,$F17)&gt;=T$10),$D17/12*(1+N($G17))^IF(AND(ISNUMBER($H17),T$10&gt;=$H17),1+INT(DATEDIF($H17,T$10,"m")/12),0),0))</f>
        <v>5367.41666666667</v>
      </c>
      <c r="U17" s="323" t="n">
        <f aca="false">IF(OR($D17="",$E17="",NOT(ISNUMBER($D17))),"",IF(AND($E17&lt;=U$10,IF($F17="",$X$10,$F17)&gt;=U$10),$D17/12*(1+N($G17))^IF(AND(ISNUMBER($H17),U$10&gt;=$H17),1+INT(DATEDIF($H17,U$10,"m")/12),0),0))</f>
        <v>5367.41666666667</v>
      </c>
      <c r="V17" s="323" t="n">
        <f aca="false">IF(OR($D17="",$E17="",NOT(ISNUMBER($D17))),"",IF(AND($E17&lt;=V$10,IF($F17="",$X$10,$F17)&gt;=V$10),$D17/12*(1+N($G17))^IF(AND(ISNUMBER($H17),V$10&gt;=$H17),1+INT(DATEDIF($H17,V$10,"m")/12),0),0))</f>
        <v>5528.43916666667</v>
      </c>
      <c r="W17" s="323" t="n">
        <f aca="false">IF(OR($D17="",$E17="",NOT(ISNUMBER($D17))),"",IF(AND($E17&lt;=W$10,IF($F17="",$X$10,$F17)&gt;=W$10),$D17/12*(1+N($G17))^IF(AND(ISNUMBER($H17),W$10&gt;=$H17),1+INT(DATEDIF($H17,W$10,"m")/12),0),0))</f>
        <v>5528.43916666667</v>
      </c>
      <c r="X17" s="323" t="n">
        <f aca="false">IF(OR($D17="",$E17="",NOT(ISNUMBER($D17))),"",IF(AND($E17&lt;=X$10,IF($F17="",$X$10,$F17)&gt;=X$10),$D17/12*(1+N($G17))^IF(AND(ISNUMBER($H17),X$10&gt;=$H17),1+INT(DATEDIF($H17,X$10,"m")/12),0),0))</f>
        <v>5528.43916666667</v>
      </c>
      <c r="Y17" s="323"/>
      <c r="Z17" s="323" t="n">
        <f aca="false">SUM(M17:X17)</f>
        <v>64892.0675</v>
      </c>
      <c r="AB17" s="325" t="str">
        <f aca="false">IF($D17&amp;$E17="","",IF(AND($D17&lt;&gt;"",NOT(ISNUMBER($D17))),"Salary must be a number",IF(AND($D17&lt;&gt;"",$E17=""),"Start month missing",IF(AND(ISNUMBER($E17),ISNUMBER($F17),$F17&lt;$E17),"End is before Start",IF(AND($D17&lt;&gt;"",NOT(ISNUMBER($H17))),"Increase month missing","")))))</f>
        <v/>
      </c>
    </row>
    <row r="18" customFormat="false" ht="14.4" hidden="false" customHeight="false" outlineLevel="0" collapsed="false">
      <c r="A18" s="288" t="s">
        <v>3079</v>
      </c>
      <c r="B18" s="318" t="s">
        <v>3085</v>
      </c>
      <c r="C18" s="318" t="s">
        <v>3084</v>
      </c>
      <c r="D18" s="319" t="n">
        <v>57814</v>
      </c>
      <c r="E18" s="320" t="n">
        <v>46266</v>
      </c>
      <c r="F18" s="320" t="n">
        <v>46722</v>
      </c>
      <c r="G18" s="321" t="n">
        <v>0.03</v>
      </c>
      <c r="H18" s="322" t="n">
        <f aca="false">$D$8</f>
        <v>46661</v>
      </c>
      <c r="I18" s="323" t="n">
        <f aca="false">IF(OR($D18="",$E18="",NOT(ISNUMBER($D18))),"",IF(AND($E18&lt;=I$10,IF($F18="",$X$10,$F18)&gt;=I$10),$D18/12*(1+N($G18))^IF(AND(ISNUMBER($H18),I$10&gt;=$H18),1+INT(DATEDIF($H18,I$10,"m")/12),0),0))</f>
        <v>4817.83333333333</v>
      </c>
      <c r="J18" s="323" t="n">
        <f aca="false">IF(OR($D18="",$E18="",NOT(ISNUMBER($D18))),"",IF(AND($E18&lt;=J$10,IF($F18="",$X$10,$F18)&gt;=J$10),$D18/12*(1+N($G18))^IF(AND(ISNUMBER($H18),J$10&gt;=$H18),1+INT(DATEDIF($H18,J$10,"m")/12),0),0))</f>
        <v>4817.83333333333</v>
      </c>
      <c r="K18" s="323" t="n">
        <f aca="false">IF(OR($D18="",$E18="",NOT(ISNUMBER($D18))),"",IF(AND($E18&lt;=K$10,IF($F18="",$X$10,$F18)&gt;=K$10),$D18/12*(1+N($G18))^IF(AND(ISNUMBER($H18),K$10&gt;=$H18),1+INT(DATEDIF($H18,K$10,"m")/12),0),0))</f>
        <v>4817.83333333333</v>
      </c>
      <c r="L18" s="323" t="n">
        <f aca="false">IF(OR($D18="",$E18="",NOT(ISNUMBER($D18))),"",IF(AND($E18&lt;=L$10,IF($F18="",$X$10,$F18)&gt;=L$10),$D18/12*(1+N($G18))^IF(AND(ISNUMBER($H18),L$10&gt;=$H18),1+INT(DATEDIF($H18,L$10,"m")/12),0),0))</f>
        <v>4817.83333333333</v>
      </c>
      <c r="M18" s="323" t="n">
        <f aca="false">IF(OR($D18="",$E18="",NOT(ISNUMBER($D18))),"",IF(AND($E18&lt;=M$10,IF($F18="",$X$10,$F18)&gt;=M$10),$D18/12*(1+N($G18))^IF(AND(ISNUMBER($H18),M$10&gt;=$H18),1+INT(DATEDIF($H18,M$10,"m")/12),0),0))</f>
        <v>4817.83333333333</v>
      </c>
      <c r="N18" s="323" t="n">
        <f aca="false">IF(OR($D18="",$E18="",NOT(ISNUMBER($D18))),"",IF(AND($E18&lt;=N$10,IF($F18="",$X$10,$F18)&gt;=N$10),$D18/12*(1+N($G18))^IF(AND(ISNUMBER($H18),N$10&gt;=$H18),1+INT(DATEDIF($H18,N$10,"m")/12),0),0))</f>
        <v>4817.83333333333</v>
      </c>
      <c r="O18" s="323" t="n">
        <f aca="false">IF(OR($D18="",$E18="",NOT(ISNUMBER($D18))),"",IF(AND($E18&lt;=O$10,IF($F18="",$X$10,$F18)&gt;=O$10),$D18/12*(1+N($G18))^IF(AND(ISNUMBER($H18),O$10&gt;=$H18),1+INT(DATEDIF($H18,O$10,"m")/12),0),0))</f>
        <v>4817.83333333333</v>
      </c>
      <c r="P18" s="323" t="n">
        <f aca="false">IF(OR($D18="",$E18="",NOT(ISNUMBER($D18))),"",IF(AND($E18&lt;=P$10,IF($F18="",$X$10,$F18)&gt;=P$10),$D18/12*(1+N($G18))^IF(AND(ISNUMBER($H18),P$10&gt;=$H18),1+INT(DATEDIF($H18,P$10,"m")/12),0),0))</f>
        <v>4817.83333333333</v>
      </c>
      <c r="Q18" s="323" t="n">
        <f aca="false">IF(OR($D18="",$E18="",NOT(ISNUMBER($D18))),"",IF(AND($E18&lt;=Q$10,IF($F18="",$X$10,$F18)&gt;=Q$10),$D18/12*(1+N($G18))^IF(AND(ISNUMBER($H18),Q$10&gt;=$H18),1+INT(DATEDIF($H18,Q$10,"m")/12),0),0))</f>
        <v>4817.83333333333</v>
      </c>
      <c r="R18" s="323" t="n">
        <f aca="false">IF(OR($D18="",$E18="",NOT(ISNUMBER($D18))),"",IF(AND($E18&lt;=R$10,IF($F18="",$X$10,$F18)&gt;=R$10),$D18/12*(1+N($G18))^IF(AND(ISNUMBER($H18),R$10&gt;=$H18),1+INT(DATEDIF($H18,R$10,"m")/12),0),0))</f>
        <v>4817.83333333333</v>
      </c>
      <c r="S18" s="323" t="n">
        <f aca="false">IF(OR($D18="",$E18="",NOT(ISNUMBER($D18))),"",IF(AND($E18&lt;=S$10,IF($F18="",$X$10,$F18)&gt;=S$10),$D18/12*(1+N($G18))^IF(AND(ISNUMBER($H18),S$10&gt;=$H18),1+INT(DATEDIF($H18,S$10,"m")/12),0),0))</f>
        <v>4817.83333333333</v>
      </c>
      <c r="T18" s="323" t="n">
        <f aca="false">IF(OR($D18="",$E18="",NOT(ISNUMBER($D18))),"",IF(AND($E18&lt;=T$10,IF($F18="",$X$10,$F18)&gt;=T$10),$D18/12*(1+N($G18))^IF(AND(ISNUMBER($H18),T$10&gt;=$H18),1+INT(DATEDIF($H18,T$10,"m")/12),0),0))</f>
        <v>4817.83333333333</v>
      </c>
      <c r="U18" s="323" t="n">
        <f aca="false">IF(OR($D18="",$E18="",NOT(ISNUMBER($D18))),"",IF(AND($E18&lt;=U$10,IF($F18="",$X$10,$F18)&gt;=U$10),$D18/12*(1+N($G18))^IF(AND(ISNUMBER($H18),U$10&gt;=$H18),1+INT(DATEDIF($H18,U$10,"m")/12),0),0))</f>
        <v>4817.83333333333</v>
      </c>
      <c r="V18" s="323" t="n">
        <f aca="false">IF(OR($D18="",$E18="",NOT(ISNUMBER($D18))),"",IF(AND($E18&lt;=V$10,IF($F18="",$X$10,$F18)&gt;=V$10),$D18/12*(1+N($G18))^IF(AND(ISNUMBER($H18),V$10&gt;=$H18),1+INT(DATEDIF($H18,V$10,"m")/12),0),0))</f>
        <v>4962.36833333333</v>
      </c>
      <c r="W18" s="323" t="n">
        <f aca="false">IF(OR($D18="",$E18="",NOT(ISNUMBER($D18))),"",IF(AND($E18&lt;=W$10,IF($F18="",$X$10,$F18)&gt;=W$10),$D18/12*(1+N($G18))^IF(AND(ISNUMBER($H18),W$10&gt;=$H18),1+INT(DATEDIF($H18,W$10,"m")/12),0),0))</f>
        <v>4962.36833333333</v>
      </c>
      <c r="X18" s="323" t="n">
        <f aca="false">IF(OR($D18="",$E18="",NOT(ISNUMBER($D18))),"",IF(AND($E18&lt;=X$10,IF($F18="",$X$10,$F18)&gt;=X$10),$D18/12*(1+N($G18))^IF(AND(ISNUMBER($H18),X$10&gt;=$H18),1+INT(DATEDIF($H18,X$10,"m")/12),0),0))</f>
        <v>4962.36833333333</v>
      </c>
      <c r="Y18" s="323"/>
      <c r="Z18" s="323" t="n">
        <f aca="false">SUM(M18:X18)</f>
        <v>58247.605</v>
      </c>
      <c r="AB18" s="325" t="str">
        <f aca="false">IF($D18&amp;$E18="","",IF(AND($D18&lt;&gt;"",NOT(ISNUMBER($D18))),"Salary must be a number",IF(AND($D18&lt;&gt;"",$E18=""),"Start month missing",IF(AND(ISNUMBER($E18),ISNUMBER($F18),$F18&lt;$E18),"End is before Start",IF(AND($D18&lt;&gt;"",NOT(ISNUMBER($H18))),"Increase month missing","")))))</f>
        <v/>
      </c>
    </row>
    <row r="19" customFormat="false" ht="14.4" hidden="false" customHeight="false" outlineLevel="0" collapsed="false">
      <c r="A19" s="288" t="s">
        <v>3079</v>
      </c>
      <c r="B19" s="318" t="s">
        <v>3086</v>
      </c>
      <c r="C19" s="318" t="s">
        <v>3087</v>
      </c>
      <c r="D19" s="319" t="n">
        <v>55162</v>
      </c>
      <c r="E19" s="320" t="n">
        <v>46266</v>
      </c>
      <c r="F19" s="320" t="n">
        <v>46722</v>
      </c>
      <c r="G19" s="321" t="n">
        <v>0.03</v>
      </c>
      <c r="H19" s="322" t="n">
        <f aca="false">$D$8</f>
        <v>46661</v>
      </c>
      <c r="I19" s="323" t="n">
        <f aca="false">IF(OR($D19="",$E19="",NOT(ISNUMBER($D19))),"",IF(AND($E19&lt;=I$10,IF($F19="",$X$10,$F19)&gt;=I$10),$D19/12*(1+N($G19))^IF(AND(ISNUMBER($H19),I$10&gt;=$H19),1+INT(DATEDIF($H19,I$10,"m")/12),0),0))</f>
        <v>4596.83333333333</v>
      </c>
      <c r="J19" s="323" t="n">
        <f aca="false">IF(OR($D19="",$E19="",NOT(ISNUMBER($D19))),"",IF(AND($E19&lt;=J$10,IF($F19="",$X$10,$F19)&gt;=J$10),$D19/12*(1+N($G19))^IF(AND(ISNUMBER($H19),J$10&gt;=$H19),1+INT(DATEDIF($H19,J$10,"m")/12),0),0))</f>
        <v>4596.83333333333</v>
      </c>
      <c r="K19" s="323" t="n">
        <f aca="false">IF(OR($D19="",$E19="",NOT(ISNUMBER($D19))),"",IF(AND($E19&lt;=K$10,IF($F19="",$X$10,$F19)&gt;=K$10),$D19/12*(1+N($G19))^IF(AND(ISNUMBER($H19),K$10&gt;=$H19),1+INT(DATEDIF($H19,K$10,"m")/12),0),0))</f>
        <v>4596.83333333333</v>
      </c>
      <c r="L19" s="323" t="n">
        <f aca="false">IF(OR($D19="",$E19="",NOT(ISNUMBER($D19))),"",IF(AND($E19&lt;=L$10,IF($F19="",$X$10,$F19)&gt;=L$10),$D19/12*(1+N($G19))^IF(AND(ISNUMBER($H19),L$10&gt;=$H19),1+INT(DATEDIF($H19,L$10,"m")/12),0),0))</f>
        <v>4596.83333333333</v>
      </c>
      <c r="M19" s="323" t="n">
        <f aca="false">IF(OR($D19="",$E19="",NOT(ISNUMBER($D19))),"",IF(AND($E19&lt;=M$10,IF($F19="",$X$10,$F19)&gt;=M$10),$D19/12*(1+N($G19))^IF(AND(ISNUMBER($H19),M$10&gt;=$H19),1+INT(DATEDIF($H19,M$10,"m")/12),0),0))</f>
        <v>4596.83333333333</v>
      </c>
      <c r="N19" s="323" t="n">
        <f aca="false">IF(OR($D19="",$E19="",NOT(ISNUMBER($D19))),"",IF(AND($E19&lt;=N$10,IF($F19="",$X$10,$F19)&gt;=N$10),$D19/12*(1+N($G19))^IF(AND(ISNUMBER($H19),N$10&gt;=$H19),1+INT(DATEDIF($H19,N$10,"m")/12),0),0))</f>
        <v>4596.83333333333</v>
      </c>
      <c r="O19" s="323" t="n">
        <f aca="false">IF(OR($D19="",$E19="",NOT(ISNUMBER($D19))),"",IF(AND($E19&lt;=O$10,IF($F19="",$X$10,$F19)&gt;=O$10),$D19/12*(1+N($G19))^IF(AND(ISNUMBER($H19),O$10&gt;=$H19),1+INT(DATEDIF($H19,O$10,"m")/12),0),0))</f>
        <v>4596.83333333333</v>
      </c>
      <c r="P19" s="323" t="n">
        <f aca="false">IF(OR($D19="",$E19="",NOT(ISNUMBER($D19))),"",IF(AND($E19&lt;=P$10,IF($F19="",$X$10,$F19)&gt;=P$10),$D19/12*(1+N($G19))^IF(AND(ISNUMBER($H19),P$10&gt;=$H19),1+INT(DATEDIF($H19,P$10,"m")/12),0),0))</f>
        <v>4596.83333333333</v>
      </c>
      <c r="Q19" s="323" t="n">
        <f aca="false">IF(OR($D19="",$E19="",NOT(ISNUMBER($D19))),"",IF(AND($E19&lt;=Q$10,IF($F19="",$X$10,$F19)&gt;=Q$10),$D19/12*(1+N($G19))^IF(AND(ISNUMBER($H19),Q$10&gt;=$H19),1+INT(DATEDIF($H19,Q$10,"m")/12),0),0))</f>
        <v>4596.83333333333</v>
      </c>
      <c r="R19" s="323" t="n">
        <f aca="false">IF(OR($D19="",$E19="",NOT(ISNUMBER($D19))),"",IF(AND($E19&lt;=R$10,IF($F19="",$X$10,$F19)&gt;=R$10),$D19/12*(1+N($G19))^IF(AND(ISNUMBER($H19),R$10&gt;=$H19),1+INT(DATEDIF($H19,R$10,"m")/12),0),0))</f>
        <v>4596.83333333333</v>
      </c>
      <c r="S19" s="323" t="n">
        <f aca="false">IF(OR($D19="",$E19="",NOT(ISNUMBER($D19))),"",IF(AND($E19&lt;=S$10,IF($F19="",$X$10,$F19)&gt;=S$10),$D19/12*(1+N($G19))^IF(AND(ISNUMBER($H19),S$10&gt;=$H19),1+INT(DATEDIF($H19,S$10,"m")/12),0),0))</f>
        <v>4596.83333333333</v>
      </c>
      <c r="T19" s="323" t="n">
        <f aca="false">IF(OR($D19="",$E19="",NOT(ISNUMBER($D19))),"",IF(AND($E19&lt;=T$10,IF($F19="",$X$10,$F19)&gt;=T$10),$D19/12*(1+N($G19))^IF(AND(ISNUMBER($H19),T$10&gt;=$H19),1+INT(DATEDIF($H19,T$10,"m")/12),0),0))</f>
        <v>4596.83333333333</v>
      </c>
      <c r="U19" s="323" t="n">
        <f aca="false">IF(OR($D19="",$E19="",NOT(ISNUMBER($D19))),"",IF(AND($E19&lt;=U$10,IF($F19="",$X$10,$F19)&gt;=U$10),$D19/12*(1+N($G19))^IF(AND(ISNUMBER($H19),U$10&gt;=$H19),1+INT(DATEDIF($H19,U$10,"m")/12),0),0))</f>
        <v>4596.83333333333</v>
      </c>
      <c r="V19" s="323" t="n">
        <f aca="false">IF(OR($D19="",$E19="",NOT(ISNUMBER($D19))),"",IF(AND($E19&lt;=V$10,IF($F19="",$X$10,$F19)&gt;=V$10),$D19/12*(1+N($G19))^IF(AND(ISNUMBER($H19),V$10&gt;=$H19),1+INT(DATEDIF($H19,V$10,"m")/12),0),0))</f>
        <v>4734.73833333333</v>
      </c>
      <c r="W19" s="323" t="n">
        <f aca="false">IF(OR($D19="",$E19="",NOT(ISNUMBER($D19))),"",IF(AND($E19&lt;=W$10,IF($F19="",$X$10,$F19)&gt;=W$10),$D19/12*(1+N($G19))^IF(AND(ISNUMBER($H19),W$10&gt;=$H19),1+INT(DATEDIF($H19,W$10,"m")/12),0),0))</f>
        <v>4734.73833333333</v>
      </c>
      <c r="X19" s="323" t="n">
        <f aca="false">IF(OR($D19="",$E19="",NOT(ISNUMBER($D19))),"",IF(AND($E19&lt;=X$10,IF($F19="",$X$10,$F19)&gt;=X$10),$D19/12*(1+N($G19))^IF(AND(ISNUMBER($H19),X$10&gt;=$H19),1+INT(DATEDIF($H19,X$10,"m")/12),0),0))</f>
        <v>4734.73833333333</v>
      </c>
      <c r="Y19" s="323"/>
      <c r="Z19" s="323" t="n">
        <f aca="false">SUM(M19:X19)</f>
        <v>55575.715</v>
      </c>
      <c r="AB19" s="325" t="str">
        <f aca="false">IF($D19&amp;$E19="","",IF(AND($D19&lt;&gt;"",NOT(ISNUMBER($D19))),"Salary must be a number",IF(AND($D19&lt;&gt;"",$E19=""),"Start month missing",IF(AND(ISNUMBER($E19),ISNUMBER($F19),$F19&lt;$E19),"End is before Start",IF(AND($D19&lt;&gt;"",NOT(ISNUMBER($H19))),"Increase month missing","")))))</f>
        <v/>
      </c>
    </row>
    <row r="20" customFormat="false" ht="14.4" hidden="false" customHeight="false" outlineLevel="0" collapsed="false">
      <c r="A20" s="288" t="s">
        <v>3079</v>
      </c>
      <c r="B20" s="318" t="s">
        <v>3088</v>
      </c>
      <c r="C20" s="318" t="s">
        <v>3089</v>
      </c>
      <c r="D20" s="319" t="n">
        <v>49920</v>
      </c>
      <c r="E20" s="320" t="n">
        <v>46266</v>
      </c>
      <c r="F20" s="320" t="n">
        <v>46722</v>
      </c>
      <c r="G20" s="321" t="n">
        <v>0.03</v>
      </c>
      <c r="H20" s="322" t="n">
        <f aca="false">$D$8</f>
        <v>46661</v>
      </c>
      <c r="I20" s="323" t="n">
        <f aca="false">IF(OR($D20="",$E20="",NOT(ISNUMBER($D20))),"",IF(AND($E20&lt;=I$10,IF($F20="",$X$10,$F20)&gt;=I$10),$D20/12*(1+N($G20))^IF(AND(ISNUMBER($H20),I$10&gt;=$H20),1+INT(DATEDIF($H20,I$10,"m")/12),0),0))</f>
        <v>4160</v>
      </c>
      <c r="J20" s="323" t="n">
        <f aca="false">IF(OR($D20="",$E20="",NOT(ISNUMBER($D20))),"",IF(AND($E20&lt;=J$10,IF($F20="",$X$10,$F20)&gt;=J$10),$D20/12*(1+N($G20))^IF(AND(ISNUMBER($H20),J$10&gt;=$H20),1+INT(DATEDIF($H20,J$10,"m")/12),0),0))</f>
        <v>4160</v>
      </c>
      <c r="K20" s="323" t="n">
        <f aca="false">IF(OR($D20="",$E20="",NOT(ISNUMBER($D20))),"",IF(AND($E20&lt;=K$10,IF($F20="",$X$10,$F20)&gt;=K$10),$D20/12*(1+N($G20))^IF(AND(ISNUMBER($H20),K$10&gt;=$H20),1+INT(DATEDIF($H20,K$10,"m")/12),0),0))</f>
        <v>4160</v>
      </c>
      <c r="L20" s="323" t="n">
        <f aca="false">IF(OR($D20="",$E20="",NOT(ISNUMBER($D20))),"",IF(AND($E20&lt;=L$10,IF($F20="",$X$10,$F20)&gt;=L$10),$D20/12*(1+N($G20))^IF(AND(ISNUMBER($H20),L$10&gt;=$H20),1+INT(DATEDIF($H20,L$10,"m")/12),0),0))</f>
        <v>4160</v>
      </c>
      <c r="M20" s="323" t="n">
        <f aca="false">IF(OR($D20="",$E20="",NOT(ISNUMBER($D20))),"",IF(AND($E20&lt;=M$10,IF($F20="",$X$10,$F20)&gt;=M$10),$D20/12*(1+N($G20))^IF(AND(ISNUMBER($H20),M$10&gt;=$H20),1+INT(DATEDIF($H20,M$10,"m")/12),0),0))</f>
        <v>4160</v>
      </c>
      <c r="N20" s="323" t="n">
        <f aca="false">IF(OR($D20="",$E20="",NOT(ISNUMBER($D20))),"",IF(AND($E20&lt;=N$10,IF($F20="",$X$10,$F20)&gt;=N$10),$D20/12*(1+N($G20))^IF(AND(ISNUMBER($H20),N$10&gt;=$H20),1+INT(DATEDIF($H20,N$10,"m")/12),0),0))</f>
        <v>4160</v>
      </c>
      <c r="O20" s="323" t="n">
        <f aca="false">IF(OR($D20="",$E20="",NOT(ISNUMBER($D20))),"",IF(AND($E20&lt;=O$10,IF($F20="",$X$10,$F20)&gt;=O$10),$D20/12*(1+N($G20))^IF(AND(ISNUMBER($H20),O$10&gt;=$H20),1+INT(DATEDIF($H20,O$10,"m")/12),0),0))</f>
        <v>4160</v>
      </c>
      <c r="P20" s="323" t="n">
        <f aca="false">IF(OR($D20="",$E20="",NOT(ISNUMBER($D20))),"",IF(AND($E20&lt;=P$10,IF($F20="",$X$10,$F20)&gt;=P$10),$D20/12*(1+N($G20))^IF(AND(ISNUMBER($H20),P$10&gt;=$H20),1+INT(DATEDIF($H20,P$10,"m")/12),0),0))</f>
        <v>4160</v>
      </c>
      <c r="Q20" s="323" t="n">
        <f aca="false">IF(OR($D20="",$E20="",NOT(ISNUMBER($D20))),"",IF(AND($E20&lt;=Q$10,IF($F20="",$X$10,$F20)&gt;=Q$10),$D20/12*(1+N($G20))^IF(AND(ISNUMBER($H20),Q$10&gt;=$H20),1+INT(DATEDIF($H20,Q$10,"m")/12),0),0))</f>
        <v>4160</v>
      </c>
      <c r="R20" s="323" t="n">
        <f aca="false">IF(OR($D20="",$E20="",NOT(ISNUMBER($D20))),"",IF(AND($E20&lt;=R$10,IF($F20="",$X$10,$F20)&gt;=R$10),$D20/12*(1+N($G20))^IF(AND(ISNUMBER($H20),R$10&gt;=$H20),1+INT(DATEDIF($H20,R$10,"m")/12),0),0))</f>
        <v>4160</v>
      </c>
      <c r="S20" s="323" t="n">
        <f aca="false">IF(OR($D20="",$E20="",NOT(ISNUMBER($D20))),"",IF(AND($E20&lt;=S$10,IF($F20="",$X$10,$F20)&gt;=S$10),$D20/12*(1+N($G20))^IF(AND(ISNUMBER($H20),S$10&gt;=$H20),1+INT(DATEDIF($H20,S$10,"m")/12),0),0))</f>
        <v>4160</v>
      </c>
      <c r="T20" s="323" t="n">
        <f aca="false">IF(OR($D20="",$E20="",NOT(ISNUMBER($D20))),"",IF(AND($E20&lt;=T$10,IF($F20="",$X$10,$F20)&gt;=T$10),$D20/12*(1+N($G20))^IF(AND(ISNUMBER($H20),T$10&gt;=$H20),1+INT(DATEDIF($H20,T$10,"m")/12),0),0))</f>
        <v>4160</v>
      </c>
      <c r="U20" s="323" t="n">
        <f aca="false">IF(OR($D20="",$E20="",NOT(ISNUMBER($D20))),"",IF(AND($E20&lt;=U$10,IF($F20="",$X$10,$F20)&gt;=U$10),$D20/12*(1+N($G20))^IF(AND(ISNUMBER($H20),U$10&gt;=$H20),1+INT(DATEDIF($H20,U$10,"m")/12),0),0))</f>
        <v>4160</v>
      </c>
      <c r="V20" s="323" t="n">
        <f aca="false">IF(OR($D20="",$E20="",NOT(ISNUMBER($D20))),"",IF(AND($E20&lt;=V$10,IF($F20="",$X$10,$F20)&gt;=V$10),$D20/12*(1+N($G20))^IF(AND(ISNUMBER($H20),V$10&gt;=$H20),1+INT(DATEDIF($H20,V$10,"m")/12),0),0))</f>
        <v>4284.8</v>
      </c>
      <c r="W20" s="323" t="n">
        <f aca="false">IF(OR($D20="",$E20="",NOT(ISNUMBER($D20))),"",IF(AND($E20&lt;=W$10,IF($F20="",$X$10,$F20)&gt;=W$10),$D20/12*(1+N($G20))^IF(AND(ISNUMBER($H20),W$10&gt;=$H20),1+INT(DATEDIF($H20,W$10,"m")/12),0),0))</f>
        <v>4284.8</v>
      </c>
      <c r="X20" s="323" t="n">
        <f aca="false">IF(OR($D20="",$E20="",NOT(ISNUMBER($D20))),"",IF(AND($E20&lt;=X$10,IF($F20="",$X$10,$F20)&gt;=X$10),$D20/12*(1+N($G20))^IF(AND(ISNUMBER($H20),X$10&gt;=$H20),1+INT(DATEDIF($H20,X$10,"m")/12),0),0))</f>
        <v>4284.8</v>
      </c>
      <c r="Y20" s="323"/>
      <c r="Z20" s="323" t="n">
        <f aca="false">SUM(M20:X20)</f>
        <v>50294.4</v>
      </c>
      <c r="AB20" s="325" t="str">
        <f aca="false">IF($D20&amp;$E20="","",IF(AND($D20&lt;&gt;"",NOT(ISNUMBER($D20))),"Salary must be a number",IF(AND($D20&lt;&gt;"",$E20=""),"Start month missing",IF(AND(ISNUMBER($E20),ISNUMBER($F20),$F20&lt;$E20),"End is before Start",IF(AND($D20&lt;&gt;"",NOT(ISNUMBER($H20))),"Increase month missing","")))))</f>
        <v/>
      </c>
    </row>
    <row r="21" customFormat="false" ht="14.4" hidden="false" customHeight="false" outlineLevel="0" collapsed="false">
      <c r="A21" s="288" t="s">
        <v>3079</v>
      </c>
      <c r="B21" s="318" t="s">
        <v>3090</v>
      </c>
      <c r="C21" s="318" t="s">
        <v>3091</v>
      </c>
      <c r="D21" s="319" t="n">
        <v>49920</v>
      </c>
      <c r="E21" s="320" t="n">
        <v>46266</v>
      </c>
      <c r="F21" s="320" t="n">
        <v>46722</v>
      </c>
      <c r="G21" s="321" t="n">
        <v>0.03</v>
      </c>
      <c r="H21" s="322" t="n">
        <f aca="false">$D$8</f>
        <v>46661</v>
      </c>
      <c r="I21" s="323" t="n">
        <f aca="false">IF(OR($D21="",$E21="",NOT(ISNUMBER($D21))),"",IF(AND($E21&lt;=I$10,IF($F21="",$X$10,$F21)&gt;=I$10),$D21/12*(1+N($G21))^IF(AND(ISNUMBER($H21),I$10&gt;=$H21),1+INT(DATEDIF($H21,I$10,"m")/12),0),0))</f>
        <v>4160</v>
      </c>
      <c r="J21" s="323" t="n">
        <f aca="false">IF(OR($D21="",$E21="",NOT(ISNUMBER($D21))),"",IF(AND($E21&lt;=J$10,IF($F21="",$X$10,$F21)&gt;=J$10),$D21/12*(1+N($G21))^IF(AND(ISNUMBER($H21),J$10&gt;=$H21),1+INT(DATEDIF($H21,J$10,"m")/12),0),0))</f>
        <v>4160</v>
      </c>
      <c r="K21" s="323" t="n">
        <f aca="false">IF(OR($D21="",$E21="",NOT(ISNUMBER($D21))),"",IF(AND($E21&lt;=K$10,IF($F21="",$X$10,$F21)&gt;=K$10),$D21/12*(1+N($G21))^IF(AND(ISNUMBER($H21),K$10&gt;=$H21),1+INT(DATEDIF($H21,K$10,"m")/12),0),0))</f>
        <v>4160</v>
      </c>
      <c r="L21" s="323" t="n">
        <f aca="false">IF(OR($D21="",$E21="",NOT(ISNUMBER($D21))),"",IF(AND($E21&lt;=L$10,IF($F21="",$X$10,$F21)&gt;=L$10),$D21/12*(1+N($G21))^IF(AND(ISNUMBER($H21),L$10&gt;=$H21),1+INT(DATEDIF($H21,L$10,"m")/12),0),0))</f>
        <v>4160</v>
      </c>
      <c r="M21" s="323" t="n">
        <f aca="false">IF(OR($D21="",$E21="",NOT(ISNUMBER($D21))),"",IF(AND($E21&lt;=M$10,IF($F21="",$X$10,$F21)&gt;=M$10),$D21/12*(1+N($G21))^IF(AND(ISNUMBER($H21),M$10&gt;=$H21),1+INT(DATEDIF($H21,M$10,"m")/12),0),0))</f>
        <v>4160</v>
      </c>
      <c r="N21" s="323" t="n">
        <f aca="false">IF(OR($D21="",$E21="",NOT(ISNUMBER($D21))),"",IF(AND($E21&lt;=N$10,IF($F21="",$X$10,$F21)&gt;=N$10),$D21/12*(1+N($G21))^IF(AND(ISNUMBER($H21),N$10&gt;=$H21),1+INT(DATEDIF($H21,N$10,"m")/12),0),0))</f>
        <v>4160</v>
      </c>
      <c r="O21" s="323" t="n">
        <f aca="false">IF(OR($D21="",$E21="",NOT(ISNUMBER($D21))),"",IF(AND($E21&lt;=O$10,IF($F21="",$X$10,$F21)&gt;=O$10),$D21/12*(1+N($G21))^IF(AND(ISNUMBER($H21),O$10&gt;=$H21),1+INT(DATEDIF($H21,O$10,"m")/12),0),0))</f>
        <v>4160</v>
      </c>
      <c r="P21" s="323" t="n">
        <f aca="false">IF(OR($D21="",$E21="",NOT(ISNUMBER($D21))),"",IF(AND($E21&lt;=P$10,IF($F21="",$X$10,$F21)&gt;=P$10),$D21/12*(1+N($G21))^IF(AND(ISNUMBER($H21),P$10&gt;=$H21),1+INT(DATEDIF($H21,P$10,"m")/12),0),0))</f>
        <v>4160</v>
      </c>
      <c r="Q21" s="323" t="n">
        <f aca="false">IF(OR($D21="",$E21="",NOT(ISNUMBER($D21))),"",IF(AND($E21&lt;=Q$10,IF($F21="",$X$10,$F21)&gt;=Q$10),$D21/12*(1+N($G21))^IF(AND(ISNUMBER($H21),Q$10&gt;=$H21),1+INT(DATEDIF($H21,Q$10,"m")/12),0),0))</f>
        <v>4160</v>
      </c>
      <c r="R21" s="323" t="n">
        <f aca="false">IF(OR($D21="",$E21="",NOT(ISNUMBER($D21))),"",IF(AND($E21&lt;=R$10,IF($F21="",$X$10,$F21)&gt;=R$10),$D21/12*(1+N($G21))^IF(AND(ISNUMBER($H21),R$10&gt;=$H21),1+INT(DATEDIF($H21,R$10,"m")/12),0),0))</f>
        <v>4160</v>
      </c>
      <c r="S21" s="323" t="n">
        <f aca="false">IF(OR($D21="",$E21="",NOT(ISNUMBER($D21))),"",IF(AND($E21&lt;=S$10,IF($F21="",$X$10,$F21)&gt;=S$10),$D21/12*(1+N($G21))^IF(AND(ISNUMBER($H21),S$10&gt;=$H21),1+INT(DATEDIF($H21,S$10,"m")/12),0),0))</f>
        <v>4160</v>
      </c>
      <c r="T21" s="323" t="n">
        <f aca="false">IF(OR($D21="",$E21="",NOT(ISNUMBER($D21))),"",IF(AND($E21&lt;=T$10,IF($F21="",$X$10,$F21)&gt;=T$10),$D21/12*(1+N($G21))^IF(AND(ISNUMBER($H21),T$10&gt;=$H21),1+INT(DATEDIF($H21,T$10,"m")/12),0),0))</f>
        <v>4160</v>
      </c>
      <c r="U21" s="323" t="n">
        <f aca="false">IF(OR($D21="",$E21="",NOT(ISNUMBER($D21))),"",IF(AND($E21&lt;=U$10,IF($F21="",$X$10,$F21)&gt;=U$10),$D21/12*(1+N($G21))^IF(AND(ISNUMBER($H21),U$10&gt;=$H21),1+INT(DATEDIF($H21,U$10,"m")/12),0),0))</f>
        <v>4160</v>
      </c>
      <c r="V21" s="323" t="n">
        <f aca="false">IF(OR($D21="",$E21="",NOT(ISNUMBER($D21))),"",IF(AND($E21&lt;=V$10,IF($F21="",$X$10,$F21)&gt;=V$10),$D21/12*(1+N($G21))^IF(AND(ISNUMBER($H21),V$10&gt;=$H21),1+INT(DATEDIF($H21,V$10,"m")/12),0),0))</f>
        <v>4284.8</v>
      </c>
      <c r="W21" s="323" t="n">
        <f aca="false">IF(OR($D21="",$E21="",NOT(ISNUMBER($D21))),"",IF(AND($E21&lt;=W$10,IF($F21="",$X$10,$F21)&gt;=W$10),$D21/12*(1+N($G21))^IF(AND(ISNUMBER($H21),W$10&gt;=$H21),1+INT(DATEDIF($H21,W$10,"m")/12),0),0))</f>
        <v>4284.8</v>
      </c>
      <c r="X21" s="323" t="n">
        <f aca="false">IF(OR($D21="",$E21="",NOT(ISNUMBER($D21))),"",IF(AND($E21&lt;=X$10,IF($F21="",$X$10,$F21)&gt;=X$10),$D21/12*(1+N($G21))^IF(AND(ISNUMBER($H21),X$10&gt;=$H21),1+INT(DATEDIF($H21,X$10,"m")/12),0),0))</f>
        <v>4284.8</v>
      </c>
      <c r="Y21" s="323"/>
      <c r="Z21" s="323" t="n">
        <f aca="false">SUM(M21:X21)</f>
        <v>50294.4</v>
      </c>
      <c r="AB21" s="325" t="str">
        <f aca="false">IF($D21&amp;$E21="","",IF(AND($D21&lt;&gt;"",NOT(ISNUMBER($D21))),"Salary must be a number",IF(AND($D21&lt;&gt;"",$E21=""),"Start month missing",IF(AND(ISNUMBER($E21),ISNUMBER($F21),$F21&lt;$E21),"End is before Start",IF(AND($D21&lt;&gt;"",NOT(ISNUMBER($H21))),"Increase month missing","")))))</f>
        <v/>
      </c>
    </row>
    <row r="22" customFormat="false" ht="14.4" hidden="false" customHeight="false" outlineLevel="0" collapsed="false">
      <c r="A22" s="288" t="s">
        <v>3079</v>
      </c>
      <c r="B22" s="318" t="s">
        <v>3092</v>
      </c>
      <c r="C22" s="318" t="s">
        <v>3091</v>
      </c>
      <c r="D22" s="319" t="n">
        <v>49920</v>
      </c>
      <c r="E22" s="320" t="n">
        <v>46266</v>
      </c>
      <c r="F22" s="320" t="n">
        <v>46722</v>
      </c>
      <c r="G22" s="321" t="n">
        <v>0.03</v>
      </c>
      <c r="H22" s="322" t="n">
        <f aca="false">$D$8</f>
        <v>46661</v>
      </c>
      <c r="I22" s="323" t="n">
        <f aca="false">IF(OR($D22="",$E22="",NOT(ISNUMBER($D22))),"",IF(AND($E22&lt;=I$10,IF($F22="",$X$10,$F22)&gt;=I$10),$D22/12*(1+N($G22))^IF(AND(ISNUMBER($H22),I$10&gt;=$H22),1+INT(DATEDIF($H22,I$10,"m")/12),0),0))</f>
        <v>4160</v>
      </c>
      <c r="J22" s="323" t="n">
        <f aca="false">IF(OR($D22="",$E22="",NOT(ISNUMBER($D22))),"",IF(AND($E22&lt;=J$10,IF($F22="",$X$10,$F22)&gt;=J$10),$D22/12*(1+N($G22))^IF(AND(ISNUMBER($H22),J$10&gt;=$H22),1+INT(DATEDIF($H22,J$10,"m")/12),0),0))</f>
        <v>4160</v>
      </c>
      <c r="K22" s="323" t="n">
        <f aca="false">IF(OR($D22="",$E22="",NOT(ISNUMBER($D22))),"",IF(AND($E22&lt;=K$10,IF($F22="",$X$10,$F22)&gt;=K$10),$D22/12*(1+N($G22))^IF(AND(ISNUMBER($H22),K$10&gt;=$H22),1+INT(DATEDIF($H22,K$10,"m")/12),0),0))</f>
        <v>4160</v>
      </c>
      <c r="L22" s="323" t="n">
        <f aca="false">IF(OR($D22="",$E22="",NOT(ISNUMBER($D22))),"",IF(AND($E22&lt;=L$10,IF($F22="",$X$10,$F22)&gt;=L$10),$D22/12*(1+N($G22))^IF(AND(ISNUMBER($H22),L$10&gt;=$H22),1+INT(DATEDIF($H22,L$10,"m")/12),0),0))</f>
        <v>4160</v>
      </c>
      <c r="M22" s="323" t="n">
        <f aca="false">IF(OR($D22="",$E22="",NOT(ISNUMBER($D22))),"",IF(AND($E22&lt;=M$10,IF($F22="",$X$10,$F22)&gt;=M$10),$D22/12*(1+N($G22))^IF(AND(ISNUMBER($H22),M$10&gt;=$H22),1+INT(DATEDIF($H22,M$10,"m")/12),0),0))</f>
        <v>4160</v>
      </c>
      <c r="N22" s="323" t="n">
        <f aca="false">IF(OR($D22="",$E22="",NOT(ISNUMBER($D22))),"",IF(AND($E22&lt;=N$10,IF($F22="",$X$10,$F22)&gt;=N$10),$D22/12*(1+N($G22))^IF(AND(ISNUMBER($H22),N$10&gt;=$H22),1+INT(DATEDIF($H22,N$10,"m")/12),0),0))</f>
        <v>4160</v>
      </c>
      <c r="O22" s="323" t="n">
        <f aca="false">IF(OR($D22="",$E22="",NOT(ISNUMBER($D22))),"",IF(AND($E22&lt;=O$10,IF($F22="",$X$10,$F22)&gt;=O$10),$D22/12*(1+N($G22))^IF(AND(ISNUMBER($H22),O$10&gt;=$H22),1+INT(DATEDIF($H22,O$10,"m")/12),0),0))</f>
        <v>4160</v>
      </c>
      <c r="P22" s="323" t="n">
        <f aca="false">IF(OR($D22="",$E22="",NOT(ISNUMBER($D22))),"",IF(AND($E22&lt;=P$10,IF($F22="",$X$10,$F22)&gt;=P$10),$D22/12*(1+N($G22))^IF(AND(ISNUMBER($H22),P$10&gt;=$H22),1+INT(DATEDIF($H22,P$10,"m")/12),0),0))</f>
        <v>4160</v>
      </c>
      <c r="Q22" s="323" t="n">
        <f aca="false">IF(OR($D22="",$E22="",NOT(ISNUMBER($D22))),"",IF(AND($E22&lt;=Q$10,IF($F22="",$X$10,$F22)&gt;=Q$10),$D22/12*(1+N($G22))^IF(AND(ISNUMBER($H22),Q$10&gt;=$H22),1+INT(DATEDIF($H22,Q$10,"m")/12),0),0))</f>
        <v>4160</v>
      </c>
      <c r="R22" s="323" t="n">
        <f aca="false">IF(OR($D22="",$E22="",NOT(ISNUMBER($D22))),"",IF(AND($E22&lt;=R$10,IF($F22="",$X$10,$F22)&gt;=R$10),$D22/12*(1+N($G22))^IF(AND(ISNUMBER($H22),R$10&gt;=$H22),1+INT(DATEDIF($H22,R$10,"m")/12),0),0))</f>
        <v>4160</v>
      </c>
      <c r="S22" s="323" t="n">
        <f aca="false">IF(OR($D22="",$E22="",NOT(ISNUMBER($D22))),"",IF(AND($E22&lt;=S$10,IF($F22="",$X$10,$F22)&gt;=S$10),$D22/12*(1+N($G22))^IF(AND(ISNUMBER($H22),S$10&gt;=$H22),1+INT(DATEDIF($H22,S$10,"m")/12),0),0))</f>
        <v>4160</v>
      </c>
      <c r="T22" s="323" t="n">
        <f aca="false">IF(OR($D22="",$E22="",NOT(ISNUMBER($D22))),"",IF(AND($E22&lt;=T$10,IF($F22="",$X$10,$F22)&gt;=T$10),$D22/12*(1+N($G22))^IF(AND(ISNUMBER($H22),T$10&gt;=$H22),1+INT(DATEDIF($H22,T$10,"m")/12),0),0))</f>
        <v>4160</v>
      </c>
      <c r="U22" s="323" t="n">
        <f aca="false">IF(OR($D22="",$E22="",NOT(ISNUMBER($D22))),"",IF(AND($E22&lt;=U$10,IF($F22="",$X$10,$F22)&gt;=U$10),$D22/12*(1+N($G22))^IF(AND(ISNUMBER($H22),U$10&gt;=$H22),1+INT(DATEDIF($H22,U$10,"m")/12),0),0))</f>
        <v>4160</v>
      </c>
      <c r="V22" s="323" t="n">
        <f aca="false">IF(OR($D22="",$E22="",NOT(ISNUMBER($D22))),"",IF(AND($E22&lt;=V$10,IF($F22="",$X$10,$F22)&gt;=V$10),$D22/12*(1+N($G22))^IF(AND(ISNUMBER($H22),V$10&gt;=$H22),1+INT(DATEDIF($H22,V$10,"m")/12),0),0))</f>
        <v>4284.8</v>
      </c>
      <c r="W22" s="323" t="n">
        <f aca="false">IF(OR($D22="",$E22="",NOT(ISNUMBER($D22))),"",IF(AND($E22&lt;=W$10,IF($F22="",$X$10,$F22)&gt;=W$10),$D22/12*(1+N($G22))^IF(AND(ISNUMBER($H22),W$10&gt;=$H22),1+INT(DATEDIF($H22,W$10,"m")/12),0),0))</f>
        <v>4284.8</v>
      </c>
      <c r="X22" s="323" t="n">
        <f aca="false">IF(OR($D22="",$E22="",NOT(ISNUMBER($D22))),"",IF(AND($E22&lt;=X$10,IF($F22="",$X$10,$F22)&gt;=X$10),$D22/12*(1+N($G22))^IF(AND(ISNUMBER($H22),X$10&gt;=$H22),1+INT(DATEDIF($H22,X$10,"m")/12),0),0))</f>
        <v>4284.8</v>
      </c>
      <c r="Y22" s="323"/>
      <c r="Z22" s="323" t="n">
        <f aca="false">SUM(M22:X22)</f>
        <v>50294.4</v>
      </c>
      <c r="AB22" s="325" t="str">
        <f aca="false">IF($D22&amp;$E22="","",IF(AND($D22&lt;&gt;"",NOT(ISNUMBER($D22))),"Salary must be a number",IF(AND($D22&lt;&gt;"",$E22=""),"Start month missing",IF(AND(ISNUMBER($E22),ISNUMBER($F22),$F22&lt;$E22),"End is before Start",IF(AND($D22&lt;&gt;"",NOT(ISNUMBER($H22))),"Increase month missing","")))))</f>
        <v/>
      </c>
    </row>
    <row r="23" customFormat="false" ht="14.4" hidden="false" customHeight="fals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4" hidden="false" customHeight="fals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4" hidden="false" customHeight="fals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4" hidden="false" customHeight="fals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4" hidden="false" customHeight="fals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4" hidden="false" customHeight="fals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4" hidden="false" customHeight="fals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4" hidden="false" customHeight="fals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4" hidden="false" customHeight="fals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4" hidden="false" customHeight="fals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4" hidden="false" customHeight="fals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4" hidden="false" customHeight="false" outlineLevel="0" collapsed="false">
      <c r="B34" s="317" t="s">
        <v>3067</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4" hidden="false" customHeight="fals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4" hidden="false" customHeight="fals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4" hidden="false" customHeight="fals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4" hidden="false" customHeight="fals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4" hidden="false" customHeight="fals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4" hidden="false" customHeight="false" outlineLevel="0" collapsed="false">
      <c r="B40" s="317" t="s">
        <v>3068</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4" hidden="false" customHeight="false" outlineLevel="0" collapsed="false">
      <c r="B41" s="318"/>
      <c r="C41" s="318"/>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4" hidden="false" customHeight="fals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4" hidden="false" customHeight="fals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4" hidden="false" customHeight="fals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4" hidden="false" customHeight="fals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4" hidden="false" customHeight="fals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4" hidden="false" customHeight="fals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4" hidden="false" customHeight="fals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4" hidden="false" customHeight="fals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4" hidden="false" customHeight="fals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4" hidden="false" customHeight="false" outlineLevel="0" collapsed="false">
      <c r="A51" s="328" t="s">
        <v>3069</v>
      </c>
      <c r="B51" s="317" t="s">
        <v>3070</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4" hidden="false" customHeight="fals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4" hidden="false" customHeight="fals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4" hidden="false" customHeight="fals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4" hidden="false" customHeight="fals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4" hidden="false" customHeight="fals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4" hidden="false" customHeight="fals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4" hidden="false" customHeight="false" outlineLevel="0" collapsed="false">
      <c r="A58" s="328" t="s">
        <v>3071</v>
      </c>
      <c r="B58" s="317" t="s">
        <v>3072</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4" hidden="false" customHeight="fals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4" hidden="false" customHeight="fals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4" hidden="false" customHeight="fals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4" hidden="false" customHeight="fals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4" hidden="false" customHeight="fals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4" hidden="false" customHeight="fals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4" hidden="false" customHeight="fals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4" hidden="false" customHeight="fals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4" hidden="false" customHeight="false" outlineLevel="0" collapsed="false">
      <c r="B67" s="342" t="s">
        <v>3073</v>
      </c>
      <c r="C67" s="342"/>
      <c r="D67" s="343"/>
      <c r="E67" s="344"/>
      <c r="F67" s="344"/>
      <c r="G67" s="344"/>
      <c r="H67" s="344"/>
      <c r="I67" s="345" t="n">
        <f aca="false">SUM(I14:I57)</f>
        <v>43450</v>
      </c>
      <c r="J67" s="345" t="n">
        <f aca="false">SUM(J14:J57)</f>
        <v>43450</v>
      </c>
      <c r="K67" s="345" t="n">
        <f aca="false">SUM(K14:K57)</f>
        <v>43450</v>
      </c>
      <c r="L67" s="345" t="n">
        <f aca="false">SUM(L14:L57)</f>
        <v>43450</v>
      </c>
      <c r="M67" s="345" t="n">
        <f aca="false">SUM(M14:M57)</f>
        <v>43450</v>
      </c>
      <c r="N67" s="345" t="n">
        <f aca="false">SUM(N14:N57)</f>
        <v>43450</v>
      </c>
      <c r="O67" s="345" t="n">
        <f aca="false">SUM(O14:O57)</f>
        <v>43450</v>
      </c>
      <c r="P67" s="345" t="n">
        <f aca="false">SUM(P14:P57)</f>
        <v>43450</v>
      </c>
      <c r="Q67" s="345" t="n">
        <f aca="false">SUM(Q14:Q57)</f>
        <v>43450</v>
      </c>
      <c r="R67" s="345" t="n">
        <f aca="false">SUM(R14:R57)</f>
        <v>43450</v>
      </c>
      <c r="S67" s="345" t="n">
        <f aca="false">SUM(S14:S57)</f>
        <v>43450</v>
      </c>
      <c r="T67" s="345" t="n">
        <f aca="false">SUM(T14:T57)</f>
        <v>43450</v>
      </c>
      <c r="U67" s="345" t="n">
        <f aca="false">SUM(U14:U57)</f>
        <v>43450</v>
      </c>
      <c r="V67" s="345" t="n">
        <f aca="false">SUM(V14:V57)</f>
        <v>44753.5</v>
      </c>
      <c r="W67" s="345" t="n">
        <f aca="false">SUM(W14:W57)</f>
        <v>44753.5</v>
      </c>
      <c r="X67" s="345" t="n">
        <f aca="false">SUM(X14:X57)</f>
        <v>44753.5</v>
      </c>
      <c r="Y67" s="346"/>
      <c r="Z67" s="345" t="n">
        <f aca="false">SUM(M67:X67)</f>
        <v>525310.5</v>
      </c>
    </row>
    <row r="68" customFormat="false" ht="14.4" hidden="false" customHeight="false" outlineLevel="0" collapsed="false">
      <c r="B68" s="342" t="s">
        <v>2288</v>
      </c>
      <c r="C68" s="342"/>
      <c r="D68" s="343"/>
      <c r="E68" s="344"/>
      <c r="F68" s="344"/>
      <c r="G68" s="344"/>
      <c r="H68" s="344"/>
      <c r="I68" s="345" t="n">
        <f aca="false">I67*$D$6</f>
        <v>1580.22856962794</v>
      </c>
      <c r="J68" s="345" t="n">
        <f aca="false">J67*$D$6</f>
        <v>1580.22856962794</v>
      </c>
      <c r="K68" s="345" t="n">
        <f aca="false">K67*$D$6</f>
        <v>1580.22856962794</v>
      </c>
      <c r="L68" s="345" t="n">
        <f aca="false">L67*$D$6</f>
        <v>1580.22856962794</v>
      </c>
      <c r="M68" s="345" t="n">
        <f aca="false">M67*$D$6</f>
        <v>1580.22856962794</v>
      </c>
      <c r="N68" s="345" t="n">
        <f aca="false">N67*$D$6</f>
        <v>1580.22856962794</v>
      </c>
      <c r="O68" s="345" t="n">
        <f aca="false">O67*$D$6</f>
        <v>1580.22856962794</v>
      </c>
      <c r="P68" s="345" t="n">
        <f aca="false">P67*$D$6</f>
        <v>1580.22856962794</v>
      </c>
      <c r="Q68" s="345" t="n">
        <f aca="false">Q67*$D$6</f>
        <v>1580.22856962794</v>
      </c>
      <c r="R68" s="345" t="n">
        <f aca="false">R67*$D$6</f>
        <v>1580.22856962794</v>
      </c>
      <c r="S68" s="345" t="n">
        <f aca="false">S67*$D$6</f>
        <v>1580.22856962794</v>
      </c>
      <c r="T68" s="345" t="n">
        <f aca="false">T67*$D$6</f>
        <v>1580.22856962794</v>
      </c>
      <c r="U68" s="345" t="n">
        <f aca="false">U67*$D$6</f>
        <v>1580.22856962794</v>
      </c>
      <c r="V68" s="345" t="n">
        <f aca="false">V67*$D$6</f>
        <v>1627.63542671678</v>
      </c>
      <c r="W68" s="345" t="n">
        <f aca="false">W67*$D$6</f>
        <v>1627.63542671678</v>
      </c>
      <c r="X68" s="345" t="n">
        <f aca="false">X67*$D$6</f>
        <v>1627.63542671678</v>
      </c>
      <c r="Y68" s="346"/>
      <c r="Z68" s="345" t="n">
        <f aca="false">SUM(M68:X68)</f>
        <v>19104.9634068018</v>
      </c>
    </row>
    <row r="69" customFormat="false" ht="14.4" hidden="false" customHeight="false" outlineLevel="0" collapsed="false">
      <c r="B69" s="342" t="s">
        <v>2289</v>
      </c>
      <c r="C69" s="342"/>
      <c r="D69" s="343"/>
      <c r="E69" s="344"/>
      <c r="F69" s="344"/>
      <c r="G69" s="344"/>
      <c r="H69" s="344"/>
      <c r="I69" s="345" t="n">
        <f aca="false">I67*$D$7</f>
        <v>8966.45875099473</v>
      </c>
      <c r="J69" s="345" t="n">
        <f aca="false">J67*$D$7</f>
        <v>8966.45875099473</v>
      </c>
      <c r="K69" s="345" t="n">
        <f aca="false">K67*$D$7</f>
        <v>8966.45875099473</v>
      </c>
      <c r="L69" s="345" t="n">
        <f aca="false">L67*$D$7</f>
        <v>8966.45875099473</v>
      </c>
      <c r="M69" s="345" t="n">
        <f aca="false">M67*$D$7</f>
        <v>8966.45875099473</v>
      </c>
      <c r="N69" s="345" t="n">
        <f aca="false">N67*$D$7</f>
        <v>8966.45875099473</v>
      </c>
      <c r="O69" s="345" t="n">
        <f aca="false">O67*$D$7</f>
        <v>8966.45875099473</v>
      </c>
      <c r="P69" s="345" t="n">
        <f aca="false">P67*$D$7</f>
        <v>8966.45875099473</v>
      </c>
      <c r="Q69" s="345" t="n">
        <f aca="false">Q67*$D$7</f>
        <v>8966.45875099473</v>
      </c>
      <c r="R69" s="345" t="n">
        <f aca="false">R67*$D$7</f>
        <v>8966.45875099473</v>
      </c>
      <c r="S69" s="345" t="n">
        <f aca="false">S67*$D$7</f>
        <v>8966.45875099473</v>
      </c>
      <c r="T69" s="345" t="n">
        <f aca="false">T67*$D$7</f>
        <v>8966.45875099473</v>
      </c>
      <c r="U69" s="345" t="n">
        <f aca="false">U67*$D$7</f>
        <v>8966.45875099473</v>
      </c>
      <c r="V69" s="345" t="n">
        <f aca="false">V67*$D$7</f>
        <v>9235.45251352458</v>
      </c>
      <c r="W69" s="345" t="n">
        <f aca="false">W67*$D$7</f>
        <v>9235.45251352458</v>
      </c>
      <c r="X69" s="345" t="n">
        <f aca="false">X67*$D$7</f>
        <v>9235.45251352458</v>
      </c>
      <c r="Y69" s="346"/>
      <c r="Z69" s="345" t="n">
        <f aca="false">SUM(M69:X69)</f>
        <v>108404.486299526</v>
      </c>
    </row>
    <row r="70" customFormat="false" ht="14.4" hidden="false" customHeight="false" outlineLevel="0" collapsed="false">
      <c r="B70" s="347" t="s">
        <v>3074</v>
      </c>
      <c r="C70" s="347"/>
      <c r="D70" s="348"/>
      <c r="E70" s="349"/>
      <c r="F70" s="349"/>
      <c r="G70" s="349"/>
      <c r="H70" s="349"/>
      <c r="I70" s="350" t="n">
        <f aca="false">SUM(I67:I69)</f>
        <v>53996.6873206227</v>
      </c>
      <c r="J70" s="350" t="n">
        <f aca="false">SUM(J67:J69)</f>
        <v>53996.6873206227</v>
      </c>
      <c r="K70" s="350" t="n">
        <f aca="false">SUM(K67:K69)</f>
        <v>53996.6873206227</v>
      </c>
      <c r="L70" s="350" t="n">
        <f aca="false">SUM(L67:L69)</f>
        <v>53996.6873206227</v>
      </c>
      <c r="M70" s="350" t="n">
        <f aca="false">SUM(M67:M69)</f>
        <v>53996.6873206227</v>
      </c>
      <c r="N70" s="350" t="n">
        <f aca="false">SUM(N67:N69)</f>
        <v>53996.6873206227</v>
      </c>
      <c r="O70" s="350" t="n">
        <f aca="false">SUM(O67:O69)</f>
        <v>53996.6873206227</v>
      </c>
      <c r="P70" s="350" t="n">
        <f aca="false">SUM(P67:P69)</f>
        <v>53996.6873206227</v>
      </c>
      <c r="Q70" s="350" t="n">
        <f aca="false">SUM(Q67:Q69)</f>
        <v>53996.6873206227</v>
      </c>
      <c r="R70" s="350" t="n">
        <f aca="false">SUM(R67:R69)</f>
        <v>53996.6873206227</v>
      </c>
      <c r="S70" s="350" t="n">
        <f aca="false">SUM(S67:S69)</f>
        <v>53996.6873206227</v>
      </c>
      <c r="T70" s="350" t="n">
        <f aca="false">SUM(T67:T69)</f>
        <v>53996.6873206227</v>
      </c>
      <c r="U70" s="350" t="n">
        <f aca="false">SUM(U67:U69)</f>
        <v>53996.6873206227</v>
      </c>
      <c r="V70" s="350" t="n">
        <f aca="false">SUM(V67:V69)</f>
        <v>55616.5879402414</v>
      </c>
      <c r="W70" s="350" t="n">
        <f aca="false">SUM(W67:W69)</f>
        <v>55616.5879402414</v>
      </c>
      <c r="X70" s="350" t="n">
        <f aca="false">SUM(X67:X69)</f>
        <v>55616.5879402414</v>
      </c>
      <c r="Y70" s="346"/>
      <c r="Z70" s="350" t="n">
        <f aca="false">SUM(M70:X70)</f>
        <v>652819.949706328</v>
      </c>
    </row>
    <row r="71" customFormat="false" ht="14.4" hidden="false" customHeight="fals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C1" activeCellId="0" sqref="C1"/>
    </sheetView>
  </sheetViews>
  <sheetFormatPr defaultColWidth="8.6796875" defaultRowHeight="14.4" zeroHeight="false" outlineLevelRow="0" outlineLevelCol="0"/>
  <cols>
    <col collapsed="false" customWidth="true" hidden="false" outlineLevel="0" max="1" min="1" style="288" width="17.22"/>
    <col collapsed="false" customWidth="true" hidden="false" outlineLevel="0" max="2" min="2" style="0" width="25.33"/>
    <col collapsed="false" customWidth="true" hidden="false" outlineLevel="0" max="3" min="3" style="0" width="45.11"/>
    <col collapsed="false" customWidth="true" hidden="false" outlineLevel="0" max="4" min="4" style="0"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0" width="9.21"/>
    <col collapsed="false" customWidth="true" hidden="false" outlineLevel="0" max="25" min="25" style="0" width="2.44"/>
    <col collapsed="false" customWidth="true" hidden="false" outlineLevel="0" max="26" min="26" style="0" width="11.77"/>
    <col collapsed="false" customWidth="true" hidden="false" outlineLevel="0" max="28" min="28" style="0" width="27.22"/>
  </cols>
  <sheetData>
    <row r="1" customFormat="false" ht="17.35" hidden="false" customHeight="false" outlineLevel="0" collapsed="false">
      <c r="A1" s="290" t="s">
        <v>3026</v>
      </c>
    </row>
    <row r="2" customFormat="false" ht="15.6" hidden="false" customHeight="false" outlineLevel="0" collapsed="false">
      <c r="A2" s="291" t="s">
        <v>3093</v>
      </c>
    </row>
    <row r="3" customFormat="false" ht="14.4" hidden="false" customHeight="false" outlineLevel="0" collapsed="false">
      <c r="A3" s="292" t="s">
        <v>3028</v>
      </c>
    </row>
    <row r="4" customFormat="false" ht="14.4" hidden="false" customHeight="false" outlineLevel="0" collapsed="false">
      <c r="A4" s="293" t="s">
        <v>3094</v>
      </c>
    </row>
    <row r="5" customFormat="false" ht="14.4" hidden="false" customHeight="false" outlineLevel="0" collapsed="false">
      <c r="B5" s="294" t="s">
        <v>3030</v>
      </c>
    </row>
    <row r="6" customFormat="false" ht="14.4" hidden="false" customHeight="false" outlineLevel="0" collapsed="false">
      <c r="B6" s="295" t="s">
        <v>3031</v>
      </c>
      <c r="D6" s="296" t="n">
        <v>0.052214560818681</v>
      </c>
      <c r="E6" s="297"/>
    </row>
    <row r="7" customFormat="false" ht="14.4" hidden="false" customHeight="false" outlineLevel="0" collapsed="false">
      <c r="B7" s="295" t="s">
        <v>3032</v>
      </c>
      <c r="D7" s="298" t="n">
        <v>0.119058053362313</v>
      </c>
      <c r="E7" s="297"/>
    </row>
    <row r="8" customFormat="false" ht="14.4" hidden="false" customHeight="false" outlineLevel="0" collapsed="false">
      <c r="B8" s="295" t="s">
        <v>3033</v>
      </c>
      <c r="D8" s="299" t="n">
        <v>46661</v>
      </c>
      <c r="V8" s="300" t="s">
        <v>3034</v>
      </c>
    </row>
    <row r="9" customFormat="false" ht="14.4" hidden="false" customHeight="false" outlineLevel="0" collapsed="false">
      <c r="V9" s="300" t="s">
        <v>3035</v>
      </c>
    </row>
    <row r="10" s="309" customFormat="true" ht="29.55" hidden="false" customHeight="true" outlineLevel="0" collapsed="false">
      <c r="A10" s="301"/>
      <c r="B10" s="302" t="s">
        <v>3036</v>
      </c>
      <c r="C10" s="302" t="s">
        <v>3037</v>
      </c>
      <c r="D10" s="303" t="s">
        <v>3038</v>
      </c>
      <c r="E10" s="303" t="s">
        <v>3039</v>
      </c>
      <c r="F10" s="303" t="s">
        <v>3040</v>
      </c>
      <c r="G10" s="304" t="s">
        <v>3041</v>
      </c>
      <c r="H10" s="304" t="s">
        <v>3042</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3043</v>
      </c>
      <c r="AB10" s="310" t="s">
        <v>3044</v>
      </c>
    </row>
    <row r="11" customFormat="false" ht="14.4" hidden="false" customHeight="false" outlineLevel="0" collapsed="false">
      <c r="E11" s="311" t="s">
        <v>3045</v>
      </c>
      <c r="F11" s="311" t="s">
        <v>3045</v>
      </c>
      <c r="G11" s="312"/>
      <c r="H11" s="313" t="s">
        <v>3046</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4" hidden="false" customHeight="fals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4" hidden="false" customHeight="false" outlineLevel="0" collapsed="false">
      <c r="B13" s="317" t="s">
        <v>3047</v>
      </c>
    </row>
    <row r="14" customFormat="false" ht="14.4" hidden="false" customHeight="false" outlineLevel="0" collapsed="false">
      <c r="B14" s="318" t="s">
        <v>3095</v>
      </c>
      <c r="C14" s="318" t="s">
        <v>3096</v>
      </c>
      <c r="D14" s="319" t="n">
        <v>138600</v>
      </c>
      <c r="E14" s="320" t="n">
        <v>46266</v>
      </c>
      <c r="F14" s="320" t="n">
        <v>46722</v>
      </c>
      <c r="G14" s="321" t="n">
        <v>0.03</v>
      </c>
      <c r="H14" s="322" t="n">
        <f aca="false">$D$8</f>
        <v>46661</v>
      </c>
      <c r="I14" s="323" t="n">
        <f aca="false">IF(OR($D14="",$E14="",NOT(ISNUMBER($D14))),"",IF(AND($E14&lt;=I$10,IF($F14="",$X$10,$F14)&gt;=I$10),$D14/12*(1+N($G14))^IF(AND(ISNUMBER($H14),I$10&gt;=$H14),1+INT(DATEDIF($H14,I$10,"m")/12),0),0))</f>
        <v>11550</v>
      </c>
      <c r="J14" s="323" t="n">
        <f aca="false">IF(OR($D14="",$E14="",NOT(ISNUMBER($D14))),"",IF(AND($E14&lt;=J$10,IF($F14="",$X$10,$F14)&gt;=J$10),$D14/12*(1+N($G14))^IF(AND(ISNUMBER($H14),J$10&gt;=$H14),1+INT(DATEDIF($H14,J$10,"m")/12),0),0))</f>
        <v>11550</v>
      </c>
      <c r="K14" s="323" t="n">
        <f aca="false">IF(OR($D14="",$E14="",NOT(ISNUMBER($D14))),"",IF(AND($E14&lt;=K$10,IF($F14="",$X$10,$F14)&gt;=K$10),$D14/12*(1+N($G14))^IF(AND(ISNUMBER($H14),K$10&gt;=$H14),1+INT(DATEDIF($H14,K$10,"m")/12),0),0))</f>
        <v>11550</v>
      </c>
      <c r="L14" s="323" t="n">
        <f aca="false">IF(OR($D14="",$E14="",NOT(ISNUMBER($D14))),"",IF(AND($E14&lt;=L$10,IF($F14="",$X$10,$F14)&gt;=L$10),$D14/12*(1+N($G14))^IF(AND(ISNUMBER($H14),L$10&gt;=$H14),1+INT(DATEDIF($H14,L$10,"m")/12),0),0))</f>
        <v>11550</v>
      </c>
      <c r="M14" s="324" t="n">
        <f aca="false">IF(OR($D14="",$E14="",NOT(ISNUMBER($D14))),"",IF(AND($E14&lt;=M$10,IF($F14="",$X$10,$F14)&gt;=M$10),$D14/12*(1+N($G14))^IF(AND(ISNUMBER($H14),M$10&gt;=$H14),1+INT(DATEDIF($H14,M$10,"m")/12),0),0))</f>
        <v>11550</v>
      </c>
      <c r="N14" s="323" t="n">
        <f aca="false">IF(OR($D14="",$E14="",NOT(ISNUMBER($D14))),"",IF(AND($E14&lt;=N$10,IF($F14="",$X$10,$F14)&gt;=N$10),$D14/12*(1+N($G14))^IF(AND(ISNUMBER($H14),N$10&gt;=$H14),1+INT(DATEDIF($H14,N$10,"m")/12),0),0))</f>
        <v>11550</v>
      </c>
      <c r="O14" s="323" t="n">
        <f aca="false">IF(OR($D14="",$E14="",NOT(ISNUMBER($D14))),"",IF(AND($E14&lt;=O$10,IF($F14="",$X$10,$F14)&gt;=O$10),$D14/12*(1+N($G14))^IF(AND(ISNUMBER($H14),O$10&gt;=$H14),1+INT(DATEDIF($H14,O$10,"m")/12),0),0))</f>
        <v>11550</v>
      </c>
      <c r="P14" s="323" t="n">
        <f aca="false">IF(OR($D14="",$E14="",NOT(ISNUMBER($D14))),"",IF(AND($E14&lt;=P$10,IF($F14="",$X$10,$F14)&gt;=P$10),$D14/12*(1+N($G14))^IF(AND(ISNUMBER($H14),P$10&gt;=$H14),1+INT(DATEDIF($H14,P$10,"m")/12),0),0))</f>
        <v>11550</v>
      </c>
      <c r="Q14" s="323" t="n">
        <f aca="false">IF(OR($D14="",$E14="",NOT(ISNUMBER($D14))),"",IF(AND($E14&lt;=Q$10,IF($F14="",$X$10,$F14)&gt;=Q$10),$D14/12*(1+N($G14))^IF(AND(ISNUMBER($H14),Q$10&gt;=$H14),1+INT(DATEDIF($H14,Q$10,"m")/12),0),0))</f>
        <v>11550</v>
      </c>
      <c r="R14" s="323" t="n">
        <f aca="false">IF(OR($D14="",$E14="",NOT(ISNUMBER($D14))),"",IF(AND($E14&lt;=R$10,IF($F14="",$X$10,$F14)&gt;=R$10),$D14/12*(1+N($G14))^IF(AND(ISNUMBER($H14),R$10&gt;=$H14),1+INT(DATEDIF($H14,R$10,"m")/12),0),0))</f>
        <v>11550</v>
      </c>
      <c r="S14" s="323" t="n">
        <f aca="false">IF(OR($D14="",$E14="",NOT(ISNUMBER($D14))),"",IF(AND($E14&lt;=S$10,IF($F14="",$X$10,$F14)&gt;=S$10),$D14/12*(1+N($G14))^IF(AND(ISNUMBER($H14),S$10&gt;=$H14),1+INT(DATEDIF($H14,S$10,"m")/12),0),0))</f>
        <v>11550</v>
      </c>
      <c r="T14" s="323" t="n">
        <f aca="false">IF(OR($D14="",$E14="",NOT(ISNUMBER($D14))),"",IF(AND($E14&lt;=T$10,IF($F14="",$X$10,$F14)&gt;=T$10),$D14/12*(1+N($G14))^IF(AND(ISNUMBER($H14),T$10&gt;=$H14),1+INT(DATEDIF($H14,T$10,"m")/12),0),0))</f>
        <v>11550</v>
      </c>
      <c r="U14" s="323" t="n">
        <f aca="false">IF(OR($D14="",$E14="",NOT(ISNUMBER($D14))),"",IF(AND($E14&lt;=U$10,IF($F14="",$X$10,$F14)&gt;=U$10),$D14/12*(1+N($G14))^IF(AND(ISNUMBER($H14),U$10&gt;=$H14),1+INT(DATEDIF($H14,U$10,"m")/12),0),0))</f>
        <v>11550</v>
      </c>
      <c r="V14" s="323" t="n">
        <f aca="false">IF(OR($D14="",$E14="",NOT(ISNUMBER($D14))),"",IF(AND($E14&lt;=V$10,IF($F14="",$X$10,$F14)&gt;=V$10),$D14/12*(1+N($G14))^IF(AND(ISNUMBER($H14),V$10&gt;=$H14),1+INT(DATEDIF($H14,V$10,"m")/12),0),0))</f>
        <v>11896.5</v>
      </c>
      <c r="W14" s="323" t="n">
        <f aca="false">IF(OR($D14="",$E14="",NOT(ISNUMBER($D14))),"",IF(AND($E14&lt;=W$10,IF($F14="",$X$10,$F14)&gt;=W$10),$D14/12*(1+N($G14))^IF(AND(ISNUMBER($H14),W$10&gt;=$H14),1+INT(DATEDIF($H14,W$10,"m")/12),0),0))</f>
        <v>11896.5</v>
      </c>
      <c r="X14" s="323" t="n">
        <f aca="false">IF(OR($D14="",$E14="",NOT(ISNUMBER($D14))),"",IF(AND($E14&lt;=X$10,IF($F14="",$X$10,$F14)&gt;=X$10),$D14/12*(1+N($G14))^IF(AND(ISNUMBER($H14),X$10&gt;=$H14),1+INT(DATEDIF($H14,X$10,"m")/12),0),0))</f>
        <v>11896.5</v>
      </c>
      <c r="Y14" s="323"/>
      <c r="Z14" s="323" t="n">
        <f aca="false">SUM(M14:X14)</f>
        <v>139639.5</v>
      </c>
      <c r="AB14" s="325" t="str">
        <f aca="false">IF($D14&amp;$E14="","",IF(AND($D14&lt;&gt;"",NOT(ISNUMBER($D14))),"Salary must be a number",IF(AND($D14&lt;&gt;"",$E14=""),"Start month missing",IF(AND(ISNUMBER($E14),ISNUMBER($F14),$F14&lt;$E14),"End is before Start",IF(AND($D14&lt;&gt;"",NOT(ISNUMBER($H14))),"Increase month missing","")))))</f>
        <v/>
      </c>
    </row>
    <row r="15" customFormat="false" ht="14.4" hidden="false" customHeight="false" outlineLevel="0" collapsed="false">
      <c r="B15" s="318" t="s">
        <v>3097</v>
      </c>
      <c r="C15" s="318" t="s">
        <v>3098</v>
      </c>
      <c r="D15" s="319" t="n">
        <v>118500</v>
      </c>
      <c r="E15" s="320" t="n">
        <v>46266</v>
      </c>
      <c r="F15" s="320" t="n">
        <v>46722</v>
      </c>
      <c r="G15" s="321" t="n">
        <v>0.03</v>
      </c>
      <c r="H15" s="322" t="n">
        <f aca="false">$D$8</f>
        <v>46661</v>
      </c>
      <c r="I15" s="323" t="n">
        <f aca="false">IF(OR($D15="",$E15="",NOT(ISNUMBER($D15))),"",IF(AND($E15&lt;=I$10,IF($F15="",$X$10,$F15)&gt;=I$10),$D15/12*(1+N($G15))^IF(AND(ISNUMBER($H15),I$10&gt;=$H15),1+INT(DATEDIF($H15,I$10,"m")/12),0),0))</f>
        <v>9875</v>
      </c>
      <c r="J15" s="323" t="n">
        <f aca="false">IF(OR($D15="",$E15="",NOT(ISNUMBER($D15))),"",IF(AND($E15&lt;=J$10,IF($F15="",$X$10,$F15)&gt;=J$10),$D15/12*(1+N($G15))^IF(AND(ISNUMBER($H15),J$10&gt;=$H15),1+INT(DATEDIF($H15,J$10,"m")/12),0),0))</f>
        <v>9875</v>
      </c>
      <c r="K15" s="323" t="n">
        <f aca="false">IF(OR($D15="",$E15="",NOT(ISNUMBER($D15))),"",IF(AND($E15&lt;=K$10,IF($F15="",$X$10,$F15)&gt;=K$10),$D15/12*(1+N($G15))^IF(AND(ISNUMBER($H15),K$10&gt;=$H15),1+INT(DATEDIF($H15,K$10,"m")/12),0),0))</f>
        <v>9875</v>
      </c>
      <c r="L15" s="323" t="n">
        <f aca="false">IF(OR($D15="",$E15="",NOT(ISNUMBER($D15))),"",IF(AND($E15&lt;=L$10,IF($F15="",$X$10,$F15)&gt;=L$10),$D15/12*(1+N($G15))^IF(AND(ISNUMBER($H15),L$10&gt;=$H15),1+INT(DATEDIF($H15,L$10,"m")/12),0),0))</f>
        <v>9875</v>
      </c>
      <c r="M15" s="323" t="n">
        <f aca="false">IF(OR($D15="",$E15="",NOT(ISNUMBER($D15))),"",IF(AND($E15&lt;=M$10,IF($F15="",$X$10,$F15)&gt;=M$10),$D15/12*(1+N($G15))^IF(AND(ISNUMBER($H15),M$10&gt;=$H15),1+INT(DATEDIF($H15,M$10,"m")/12),0),0))</f>
        <v>9875</v>
      </c>
      <c r="N15" s="323" t="n">
        <f aca="false">IF(OR($D15="",$E15="",NOT(ISNUMBER($D15))),"",IF(AND($E15&lt;=N$10,IF($F15="",$X$10,$F15)&gt;=N$10),$D15/12*(1+N($G15))^IF(AND(ISNUMBER($H15),N$10&gt;=$H15),1+INT(DATEDIF($H15,N$10,"m")/12),0),0))</f>
        <v>9875</v>
      </c>
      <c r="O15" s="323" t="n">
        <f aca="false">IF(OR($D15="",$E15="",NOT(ISNUMBER($D15))),"",IF(AND($E15&lt;=O$10,IF($F15="",$X$10,$F15)&gt;=O$10),$D15/12*(1+N($G15))^IF(AND(ISNUMBER($H15),O$10&gt;=$H15),1+INT(DATEDIF($H15,O$10,"m")/12),0),0))</f>
        <v>9875</v>
      </c>
      <c r="P15" s="323" t="n">
        <f aca="false">IF(OR($D15="",$E15="",NOT(ISNUMBER($D15))),"",IF(AND($E15&lt;=P$10,IF($F15="",$X$10,$F15)&gt;=P$10),$D15/12*(1+N($G15))^IF(AND(ISNUMBER($H15),P$10&gt;=$H15),1+INT(DATEDIF($H15,P$10,"m")/12),0),0))</f>
        <v>9875</v>
      </c>
      <c r="Q15" s="323" t="n">
        <f aca="false">IF(OR($D15="",$E15="",NOT(ISNUMBER($D15))),"",IF(AND($E15&lt;=Q$10,IF($F15="",$X$10,$F15)&gt;=Q$10),$D15/12*(1+N($G15))^IF(AND(ISNUMBER($H15),Q$10&gt;=$H15),1+INT(DATEDIF($H15,Q$10,"m")/12),0),0))</f>
        <v>9875</v>
      </c>
      <c r="R15" s="323" t="n">
        <f aca="false">IF(OR($D15="",$E15="",NOT(ISNUMBER($D15))),"",IF(AND($E15&lt;=R$10,IF($F15="",$X$10,$F15)&gt;=R$10),$D15/12*(1+N($G15))^IF(AND(ISNUMBER($H15),R$10&gt;=$H15),1+INT(DATEDIF($H15,R$10,"m")/12),0),0))</f>
        <v>9875</v>
      </c>
      <c r="S15" s="323" t="n">
        <f aca="false">IF(OR($D15="",$E15="",NOT(ISNUMBER($D15))),"",IF(AND($E15&lt;=S$10,IF($F15="",$X$10,$F15)&gt;=S$10),$D15/12*(1+N($G15))^IF(AND(ISNUMBER($H15),S$10&gt;=$H15),1+INT(DATEDIF($H15,S$10,"m")/12),0),0))</f>
        <v>9875</v>
      </c>
      <c r="T15" s="323" t="n">
        <f aca="false">IF(OR($D15="",$E15="",NOT(ISNUMBER($D15))),"",IF(AND($E15&lt;=T$10,IF($F15="",$X$10,$F15)&gt;=T$10),$D15/12*(1+N($G15))^IF(AND(ISNUMBER($H15),T$10&gt;=$H15),1+INT(DATEDIF($H15,T$10,"m")/12),0),0))</f>
        <v>9875</v>
      </c>
      <c r="U15" s="323" t="n">
        <f aca="false">IF(OR($D15="",$E15="",NOT(ISNUMBER($D15))),"",IF(AND($E15&lt;=U$10,IF($F15="",$X$10,$F15)&gt;=U$10),$D15/12*(1+N($G15))^IF(AND(ISNUMBER($H15),U$10&gt;=$H15),1+INT(DATEDIF($H15,U$10,"m")/12),0),0))</f>
        <v>9875</v>
      </c>
      <c r="V15" s="323" t="n">
        <f aca="false">IF(OR($D15="",$E15="",NOT(ISNUMBER($D15))),"",IF(AND($E15&lt;=V$10,IF($F15="",$X$10,$F15)&gt;=V$10),$D15/12*(1+N($G15))^IF(AND(ISNUMBER($H15),V$10&gt;=$H15),1+INT(DATEDIF($H15,V$10,"m")/12),0),0))</f>
        <v>10171.25</v>
      </c>
      <c r="W15" s="323" t="n">
        <f aca="false">IF(OR($D15="",$E15="",NOT(ISNUMBER($D15))),"",IF(AND($E15&lt;=W$10,IF($F15="",$X$10,$F15)&gt;=W$10),$D15/12*(1+N($G15))^IF(AND(ISNUMBER($H15),W$10&gt;=$H15),1+INT(DATEDIF($H15,W$10,"m")/12),0),0))</f>
        <v>10171.25</v>
      </c>
      <c r="X15" s="323" t="n">
        <f aca="false">IF(OR($D15="",$E15="",NOT(ISNUMBER($D15))),"",IF(AND($E15&lt;=X$10,IF($F15="",$X$10,$F15)&gt;=X$10),$D15/12*(1+N($G15))^IF(AND(ISNUMBER($H15),X$10&gt;=$H15),1+INT(DATEDIF($H15,X$10,"m")/12),0),0))</f>
        <v>10171.25</v>
      </c>
      <c r="Y15" s="323"/>
      <c r="Z15" s="323" t="n">
        <f aca="false">SUM(M15:X15)</f>
        <v>119388.75</v>
      </c>
      <c r="AB15" s="325" t="str">
        <f aca="false">IF($D15&amp;$E15="","",IF(AND($D15&lt;&gt;"",NOT(ISNUMBER($D15))),"Salary must be a number",IF(AND($D15&lt;&gt;"",$E15=""),"Start month missing",IF(AND(ISNUMBER($E15),ISNUMBER($F15),$F15&lt;$E15),"End is before Start",IF(AND($D15&lt;&gt;"",NOT(ISNUMBER($H15))),"Increase month missing","")))))</f>
        <v/>
      </c>
    </row>
    <row r="16" customFormat="false" ht="14.4" hidden="false" customHeight="false" outlineLevel="0" collapsed="false">
      <c r="B16" s="318" t="s">
        <v>3099</v>
      </c>
      <c r="C16" s="318" t="s">
        <v>3100</v>
      </c>
      <c r="D16" s="319" t="n">
        <v>57418</v>
      </c>
      <c r="E16" s="320" t="n">
        <v>46266</v>
      </c>
      <c r="F16" s="320" t="n">
        <v>46722</v>
      </c>
      <c r="G16" s="321" t="n">
        <v>0.03</v>
      </c>
      <c r="H16" s="322" t="n">
        <f aca="false">$D$8</f>
        <v>46661</v>
      </c>
      <c r="I16" s="323" t="n">
        <f aca="false">IF(OR($D16="",$E16="",NOT(ISNUMBER($D16))),"",IF(AND($E16&lt;=I$10,IF($F16="",$X$10,$F16)&gt;=I$10),$D16/12*(1+N($G16))^IF(AND(ISNUMBER($H16),I$10&gt;=$H16),1+INT(DATEDIF($H16,I$10,"m")/12),0),0))</f>
        <v>4784.83333333333</v>
      </c>
      <c r="J16" s="323" t="n">
        <f aca="false">IF(OR($D16="",$E16="",NOT(ISNUMBER($D16))),"",IF(AND($E16&lt;=J$10,IF($F16="",$X$10,$F16)&gt;=J$10),$D16/12*(1+N($G16))^IF(AND(ISNUMBER($H16),J$10&gt;=$H16),1+INT(DATEDIF($H16,J$10,"m")/12),0),0))</f>
        <v>4784.83333333333</v>
      </c>
      <c r="K16" s="323" t="n">
        <f aca="false">IF(OR($D16="",$E16="",NOT(ISNUMBER($D16))),"",IF(AND($E16&lt;=K$10,IF($F16="",$X$10,$F16)&gt;=K$10),$D16/12*(1+N($G16))^IF(AND(ISNUMBER($H16),K$10&gt;=$H16),1+INT(DATEDIF($H16,K$10,"m")/12),0),0))</f>
        <v>4784.83333333333</v>
      </c>
      <c r="L16" s="323" t="n">
        <f aca="false">IF(OR($D16="",$E16="",NOT(ISNUMBER($D16))),"",IF(AND($E16&lt;=L$10,IF($F16="",$X$10,$F16)&gt;=L$10),$D16/12*(1+N($G16))^IF(AND(ISNUMBER($H16),L$10&gt;=$H16),1+INT(DATEDIF($H16,L$10,"m")/12),0),0))</f>
        <v>4784.83333333333</v>
      </c>
      <c r="M16" s="323" t="n">
        <f aca="false">IF(OR($D16="",$E16="",NOT(ISNUMBER($D16))),"",IF(AND($E16&lt;=M$10,IF($F16="",$X$10,$F16)&gt;=M$10),$D16/12*(1+N($G16))^IF(AND(ISNUMBER($H16),M$10&gt;=$H16),1+INT(DATEDIF($H16,M$10,"m")/12),0),0))</f>
        <v>4784.83333333333</v>
      </c>
      <c r="N16" s="323" t="n">
        <f aca="false">IF(OR($D16="",$E16="",NOT(ISNUMBER($D16))),"",IF(AND($E16&lt;=N$10,IF($F16="",$X$10,$F16)&gt;=N$10),$D16/12*(1+N($G16))^IF(AND(ISNUMBER($H16),N$10&gt;=$H16),1+INT(DATEDIF($H16,N$10,"m")/12),0),0))</f>
        <v>4784.83333333333</v>
      </c>
      <c r="O16" s="323" t="n">
        <f aca="false">IF(OR($D16="",$E16="",NOT(ISNUMBER($D16))),"",IF(AND($E16&lt;=O$10,IF($F16="",$X$10,$F16)&gt;=O$10),$D16/12*(1+N($G16))^IF(AND(ISNUMBER($H16),O$10&gt;=$H16),1+INT(DATEDIF($H16,O$10,"m")/12),0),0))</f>
        <v>4784.83333333333</v>
      </c>
      <c r="P16" s="323" t="n">
        <f aca="false">IF(OR($D16="",$E16="",NOT(ISNUMBER($D16))),"",IF(AND($E16&lt;=P$10,IF($F16="",$X$10,$F16)&gt;=P$10),$D16/12*(1+N($G16))^IF(AND(ISNUMBER($H16),P$10&gt;=$H16),1+INT(DATEDIF($H16,P$10,"m")/12),0),0))</f>
        <v>4784.83333333333</v>
      </c>
      <c r="Q16" s="323" t="n">
        <f aca="false">IF(OR($D16="",$E16="",NOT(ISNUMBER($D16))),"",IF(AND($E16&lt;=Q$10,IF($F16="",$X$10,$F16)&gt;=Q$10),$D16/12*(1+N($G16))^IF(AND(ISNUMBER($H16),Q$10&gt;=$H16),1+INT(DATEDIF($H16,Q$10,"m")/12),0),0))</f>
        <v>4784.83333333333</v>
      </c>
      <c r="R16" s="323" t="n">
        <f aca="false">IF(OR($D16="",$E16="",NOT(ISNUMBER($D16))),"",IF(AND($E16&lt;=R$10,IF($F16="",$X$10,$F16)&gt;=R$10),$D16/12*(1+N($G16))^IF(AND(ISNUMBER($H16),R$10&gt;=$H16),1+INT(DATEDIF($H16,R$10,"m")/12),0),0))</f>
        <v>4784.83333333333</v>
      </c>
      <c r="S16" s="323" t="n">
        <f aca="false">IF(OR($D16="",$E16="",NOT(ISNUMBER($D16))),"",IF(AND($E16&lt;=S$10,IF($F16="",$X$10,$F16)&gt;=S$10),$D16/12*(1+N($G16))^IF(AND(ISNUMBER($H16),S$10&gt;=$H16),1+INT(DATEDIF($H16,S$10,"m")/12),0),0))</f>
        <v>4784.83333333333</v>
      </c>
      <c r="T16" s="323" t="n">
        <f aca="false">IF(OR($D16="",$E16="",NOT(ISNUMBER($D16))),"",IF(AND($E16&lt;=T$10,IF($F16="",$X$10,$F16)&gt;=T$10),$D16/12*(1+N($G16))^IF(AND(ISNUMBER($H16),T$10&gt;=$H16),1+INT(DATEDIF($H16,T$10,"m")/12),0),0))</f>
        <v>4784.83333333333</v>
      </c>
      <c r="U16" s="323" t="n">
        <f aca="false">IF(OR($D16="",$E16="",NOT(ISNUMBER($D16))),"",IF(AND($E16&lt;=U$10,IF($F16="",$X$10,$F16)&gt;=U$10),$D16/12*(1+N($G16))^IF(AND(ISNUMBER($H16),U$10&gt;=$H16),1+INT(DATEDIF($H16,U$10,"m")/12),0),0))</f>
        <v>4784.83333333333</v>
      </c>
      <c r="V16" s="323" t="n">
        <f aca="false">IF(OR($D16="",$E16="",NOT(ISNUMBER($D16))),"",IF(AND($E16&lt;=V$10,IF($F16="",$X$10,$F16)&gt;=V$10),$D16/12*(1+N($G16))^IF(AND(ISNUMBER($H16),V$10&gt;=$H16),1+INT(DATEDIF($H16,V$10,"m")/12),0),0))</f>
        <v>4928.37833333333</v>
      </c>
      <c r="W16" s="323" t="n">
        <f aca="false">IF(OR($D16="",$E16="",NOT(ISNUMBER($D16))),"",IF(AND($E16&lt;=W$10,IF($F16="",$X$10,$F16)&gt;=W$10),$D16/12*(1+N($G16))^IF(AND(ISNUMBER($H16),W$10&gt;=$H16),1+INT(DATEDIF($H16,W$10,"m")/12),0),0))</f>
        <v>4928.37833333333</v>
      </c>
      <c r="X16" s="323" t="n">
        <f aca="false">IF(OR($D16="",$E16="",NOT(ISNUMBER($D16))),"",IF(AND($E16&lt;=X$10,IF($F16="",$X$10,$F16)&gt;=X$10),$D16/12*(1+N($G16))^IF(AND(ISNUMBER($H16),X$10&gt;=$H16),1+INT(DATEDIF($H16,X$10,"m")/12),0),0))</f>
        <v>4928.37833333333</v>
      </c>
      <c r="Y16" s="323"/>
      <c r="Z16" s="323" t="n">
        <f aca="false">SUM(M16:X16)</f>
        <v>57848.635</v>
      </c>
      <c r="AB16" s="325" t="str">
        <f aca="false">IF($D16&amp;$E16="","",IF(AND($D16&lt;&gt;"",NOT(ISNUMBER($D16))),"Salary must be a number",IF(AND($D16&lt;&gt;"",$E16=""),"Start month missing",IF(AND(ISNUMBER($E16),ISNUMBER($F16),$F16&lt;$E16),"End is before Start",IF(AND($D16&lt;&gt;"",NOT(ISNUMBER($H16))),"Increase month missing","")))))</f>
        <v/>
      </c>
    </row>
    <row r="17" customFormat="false" ht="14.4" hidden="false" customHeight="false" outlineLevel="0" collapsed="false">
      <c r="B17" s="318" t="s">
        <v>3101</v>
      </c>
      <c r="C17" s="318" t="s">
        <v>3102</v>
      </c>
      <c r="D17" s="319" t="n">
        <v>120000</v>
      </c>
      <c r="E17" s="320" t="n">
        <v>46266</v>
      </c>
      <c r="F17" s="320" t="n">
        <v>46722</v>
      </c>
      <c r="G17" s="321" t="n">
        <v>0.03</v>
      </c>
      <c r="H17" s="322" t="n">
        <f aca="false">$D$8</f>
        <v>46661</v>
      </c>
      <c r="I17" s="323" t="n">
        <f aca="false">IF(OR($D17="",$E17="",NOT(ISNUMBER($D17))),"",IF(AND($E17&lt;=I$10,IF($F17="",$X$10,$F17)&gt;=I$10),$D17/12*(1+N($G17))^IF(AND(ISNUMBER($H17),I$10&gt;=$H17),1+INT(DATEDIF($H17,I$10,"m")/12),0),0))</f>
        <v>10000</v>
      </c>
      <c r="J17" s="323" t="n">
        <f aca="false">IF(OR($D17="",$E17="",NOT(ISNUMBER($D17))),"",IF(AND($E17&lt;=J$10,IF($F17="",$X$10,$F17)&gt;=J$10),$D17/12*(1+N($G17))^IF(AND(ISNUMBER($H17),J$10&gt;=$H17),1+INT(DATEDIF($H17,J$10,"m")/12),0),0))</f>
        <v>10000</v>
      </c>
      <c r="K17" s="323" t="n">
        <f aca="false">IF(OR($D17="",$E17="",NOT(ISNUMBER($D17))),"",IF(AND($E17&lt;=K$10,IF($F17="",$X$10,$F17)&gt;=K$10),$D17/12*(1+N($G17))^IF(AND(ISNUMBER($H17),K$10&gt;=$H17),1+INT(DATEDIF($H17,K$10,"m")/12),0),0))</f>
        <v>10000</v>
      </c>
      <c r="L17" s="323" t="n">
        <f aca="false">IF(OR($D17="",$E17="",NOT(ISNUMBER($D17))),"",IF(AND($E17&lt;=L$10,IF($F17="",$X$10,$F17)&gt;=L$10),$D17/12*(1+N($G17))^IF(AND(ISNUMBER($H17),L$10&gt;=$H17),1+INT(DATEDIF($H17,L$10,"m")/12),0),0))</f>
        <v>10000</v>
      </c>
      <c r="M17" s="323" t="n">
        <f aca="false">IF(OR($D17="",$E17="",NOT(ISNUMBER($D17))),"",IF(AND($E17&lt;=M$10,IF($F17="",$X$10,$F17)&gt;=M$10),$D17/12*(1+N($G17))^IF(AND(ISNUMBER($H17),M$10&gt;=$H17),1+INT(DATEDIF($H17,M$10,"m")/12),0),0))</f>
        <v>10000</v>
      </c>
      <c r="N17" s="323" t="n">
        <f aca="false">IF(OR($D17="",$E17="",NOT(ISNUMBER($D17))),"",IF(AND($E17&lt;=N$10,IF($F17="",$X$10,$F17)&gt;=N$10),$D17/12*(1+N($G17))^IF(AND(ISNUMBER($H17),N$10&gt;=$H17),1+INT(DATEDIF($H17,N$10,"m")/12),0),0))</f>
        <v>10000</v>
      </c>
      <c r="O17" s="323" t="n">
        <f aca="false">IF(OR($D17="",$E17="",NOT(ISNUMBER($D17))),"",IF(AND($E17&lt;=O$10,IF($F17="",$X$10,$F17)&gt;=O$10),$D17/12*(1+N($G17))^IF(AND(ISNUMBER($H17),O$10&gt;=$H17),1+INT(DATEDIF($H17,O$10,"m")/12),0),0))</f>
        <v>10000</v>
      </c>
      <c r="P17" s="323" t="n">
        <f aca="false">IF(OR($D17="",$E17="",NOT(ISNUMBER($D17))),"",IF(AND($E17&lt;=P$10,IF($F17="",$X$10,$F17)&gt;=P$10),$D17/12*(1+N($G17))^IF(AND(ISNUMBER($H17),P$10&gt;=$H17),1+INT(DATEDIF($H17,P$10,"m")/12),0),0))</f>
        <v>10000</v>
      </c>
      <c r="Q17" s="323" t="n">
        <f aca="false">IF(OR($D17="",$E17="",NOT(ISNUMBER($D17))),"",IF(AND($E17&lt;=Q$10,IF($F17="",$X$10,$F17)&gt;=Q$10),$D17/12*(1+N($G17))^IF(AND(ISNUMBER($H17),Q$10&gt;=$H17),1+INT(DATEDIF($H17,Q$10,"m")/12),0),0))</f>
        <v>10000</v>
      </c>
      <c r="R17" s="323" t="n">
        <f aca="false">IF(OR($D17="",$E17="",NOT(ISNUMBER($D17))),"",IF(AND($E17&lt;=R$10,IF($F17="",$X$10,$F17)&gt;=R$10),$D17/12*(1+N($G17))^IF(AND(ISNUMBER($H17),R$10&gt;=$H17),1+INT(DATEDIF($H17,R$10,"m")/12),0),0))</f>
        <v>10000</v>
      </c>
      <c r="S17" s="323" t="n">
        <f aca="false">IF(OR($D17="",$E17="",NOT(ISNUMBER($D17))),"",IF(AND($E17&lt;=S$10,IF($F17="",$X$10,$F17)&gt;=S$10),$D17/12*(1+N($G17))^IF(AND(ISNUMBER($H17),S$10&gt;=$H17),1+INT(DATEDIF($H17,S$10,"m")/12),0),0))</f>
        <v>10000</v>
      </c>
      <c r="T17" s="323" t="n">
        <f aca="false">IF(OR($D17="",$E17="",NOT(ISNUMBER($D17))),"",IF(AND($E17&lt;=T$10,IF($F17="",$X$10,$F17)&gt;=T$10),$D17/12*(1+N($G17))^IF(AND(ISNUMBER($H17),T$10&gt;=$H17),1+INT(DATEDIF($H17,T$10,"m")/12),0),0))</f>
        <v>10000</v>
      </c>
      <c r="U17" s="323" t="n">
        <f aca="false">IF(OR($D17="",$E17="",NOT(ISNUMBER($D17))),"",IF(AND($E17&lt;=U$10,IF($F17="",$X$10,$F17)&gt;=U$10),$D17/12*(1+N($G17))^IF(AND(ISNUMBER($H17),U$10&gt;=$H17),1+INT(DATEDIF($H17,U$10,"m")/12),0),0))</f>
        <v>10000</v>
      </c>
      <c r="V17" s="323" t="n">
        <f aca="false">IF(OR($D17="",$E17="",NOT(ISNUMBER($D17))),"",IF(AND($E17&lt;=V$10,IF($F17="",$X$10,$F17)&gt;=V$10),$D17/12*(1+N($G17))^IF(AND(ISNUMBER($H17),V$10&gt;=$H17),1+INT(DATEDIF($H17,V$10,"m")/12),0),0))</f>
        <v>10300</v>
      </c>
      <c r="W17" s="323" t="n">
        <f aca="false">IF(OR($D17="",$E17="",NOT(ISNUMBER($D17))),"",IF(AND($E17&lt;=W$10,IF($F17="",$X$10,$F17)&gt;=W$10),$D17/12*(1+N($G17))^IF(AND(ISNUMBER($H17),W$10&gt;=$H17),1+INT(DATEDIF($H17,W$10,"m")/12),0),0))</f>
        <v>10300</v>
      </c>
      <c r="X17" s="323" t="n">
        <f aca="false">IF(OR($D17="",$E17="",NOT(ISNUMBER($D17))),"",IF(AND($E17&lt;=X$10,IF($F17="",$X$10,$F17)&gt;=X$10),$D17/12*(1+N($G17))^IF(AND(ISNUMBER($H17),X$10&gt;=$H17),1+INT(DATEDIF($H17,X$10,"m")/12),0),0))</f>
        <v>10300</v>
      </c>
      <c r="Y17" s="323"/>
      <c r="Z17" s="323" t="n">
        <f aca="false">SUM(M17:X17)</f>
        <v>120900</v>
      </c>
      <c r="AB17" s="325" t="str">
        <f aca="false">IF($D17&amp;$E17="","",IF(AND($D17&lt;&gt;"",NOT(ISNUMBER($D17))),"Salary must be a number",IF(AND($D17&lt;&gt;"",$E17=""),"Start month missing",IF(AND(ISNUMBER($E17),ISNUMBER($F17),$F17&lt;$E17),"End is before Start",IF(AND($D17&lt;&gt;"",NOT(ISNUMBER($H17))),"Increase month missing","")))))</f>
        <v/>
      </c>
    </row>
    <row r="18" customFormat="false" ht="14.4" hidden="false" customHeight="false" outlineLevel="0" collapsed="false">
      <c r="B18" s="318" t="s">
        <v>3103</v>
      </c>
      <c r="C18" s="318" t="s">
        <v>3104</v>
      </c>
      <c r="D18" s="319" t="n">
        <v>110000</v>
      </c>
      <c r="E18" s="320" t="n">
        <v>46388</v>
      </c>
      <c r="F18" s="320" t="n">
        <v>46722</v>
      </c>
      <c r="G18" s="321" t="n">
        <v>0.03</v>
      </c>
      <c r="H18" s="322" t="n">
        <f aca="false">$D$8</f>
        <v>46661</v>
      </c>
      <c r="I18" s="323" t="n">
        <f aca="false">IF(OR($D18="",$E18="",NOT(ISNUMBER($D18))),"",IF(AND($E18&lt;=I$10,IF($F18="",$X$10,$F18)&gt;=I$10),$D18/12*(1+N($G18))^IF(AND(ISNUMBER($H18),I$10&gt;=$H18),1+INT(DATEDIF($H18,I$10,"m")/12),0),0))</f>
        <v>0</v>
      </c>
      <c r="J18" s="323" t="n">
        <f aca="false">IF(OR($D18="",$E18="",NOT(ISNUMBER($D18))),"",IF(AND($E18&lt;=J$10,IF($F18="",$X$10,$F18)&gt;=J$10),$D18/12*(1+N($G18))^IF(AND(ISNUMBER($H18),J$10&gt;=$H18),1+INT(DATEDIF($H18,J$10,"m")/12),0),0))</f>
        <v>0</v>
      </c>
      <c r="K18" s="323" t="n">
        <f aca="false">IF(OR($D18="",$E18="",NOT(ISNUMBER($D18))),"",IF(AND($E18&lt;=K$10,IF($F18="",$X$10,$F18)&gt;=K$10),$D18/12*(1+N($G18))^IF(AND(ISNUMBER($H18),K$10&gt;=$H18),1+INT(DATEDIF($H18,K$10,"m")/12),0),0))</f>
        <v>0</v>
      </c>
      <c r="L18" s="323" t="n">
        <f aca="false">IF(OR($D18="",$E18="",NOT(ISNUMBER($D18))),"",IF(AND($E18&lt;=L$10,IF($F18="",$X$10,$F18)&gt;=L$10),$D18/12*(1+N($G18))^IF(AND(ISNUMBER($H18),L$10&gt;=$H18),1+INT(DATEDIF($H18,L$10,"m")/12),0),0))</f>
        <v>0</v>
      </c>
      <c r="M18" s="323" t="n">
        <f aca="false">IF(OR($D18="",$E18="",NOT(ISNUMBER($D18))),"",IF(AND($E18&lt;=M$10,IF($F18="",$X$10,$F18)&gt;=M$10),$D18/12*(1+N($G18))^IF(AND(ISNUMBER($H18),M$10&gt;=$H18),1+INT(DATEDIF($H18,M$10,"m")/12),0),0))</f>
        <v>9166.66666666667</v>
      </c>
      <c r="N18" s="323" t="n">
        <f aca="false">IF(OR($D18="",$E18="",NOT(ISNUMBER($D18))),"",IF(AND($E18&lt;=N$10,IF($F18="",$X$10,$F18)&gt;=N$10),$D18/12*(1+N($G18))^IF(AND(ISNUMBER($H18),N$10&gt;=$H18),1+INT(DATEDIF($H18,N$10,"m")/12),0),0))</f>
        <v>9166.66666666667</v>
      </c>
      <c r="O18" s="323" t="n">
        <f aca="false">IF(OR($D18="",$E18="",NOT(ISNUMBER($D18))),"",IF(AND($E18&lt;=O$10,IF($F18="",$X$10,$F18)&gt;=O$10),$D18/12*(1+N($G18))^IF(AND(ISNUMBER($H18),O$10&gt;=$H18),1+INT(DATEDIF($H18,O$10,"m")/12),0),0))</f>
        <v>9166.66666666667</v>
      </c>
      <c r="P18" s="323" t="n">
        <f aca="false">IF(OR($D18="",$E18="",NOT(ISNUMBER($D18))),"",IF(AND($E18&lt;=P$10,IF($F18="",$X$10,$F18)&gt;=P$10),$D18/12*(1+N($G18))^IF(AND(ISNUMBER($H18),P$10&gt;=$H18),1+INT(DATEDIF($H18,P$10,"m")/12),0),0))</f>
        <v>9166.66666666667</v>
      </c>
      <c r="Q18" s="323" t="n">
        <f aca="false">IF(OR($D18="",$E18="",NOT(ISNUMBER($D18))),"",IF(AND($E18&lt;=Q$10,IF($F18="",$X$10,$F18)&gt;=Q$10),$D18/12*(1+N($G18))^IF(AND(ISNUMBER($H18),Q$10&gt;=$H18),1+INT(DATEDIF($H18,Q$10,"m")/12),0),0))</f>
        <v>9166.66666666667</v>
      </c>
      <c r="R18" s="323" t="n">
        <f aca="false">IF(OR($D18="",$E18="",NOT(ISNUMBER($D18))),"",IF(AND($E18&lt;=R$10,IF($F18="",$X$10,$F18)&gt;=R$10),$D18/12*(1+N($G18))^IF(AND(ISNUMBER($H18),R$10&gt;=$H18),1+INT(DATEDIF($H18,R$10,"m")/12),0),0))</f>
        <v>9166.66666666667</v>
      </c>
      <c r="S18" s="323" t="n">
        <f aca="false">IF(OR($D18="",$E18="",NOT(ISNUMBER($D18))),"",IF(AND($E18&lt;=S$10,IF($F18="",$X$10,$F18)&gt;=S$10),$D18/12*(1+N($G18))^IF(AND(ISNUMBER($H18),S$10&gt;=$H18),1+INT(DATEDIF($H18,S$10,"m")/12),0),0))</f>
        <v>9166.66666666667</v>
      </c>
      <c r="T18" s="323" t="n">
        <f aca="false">IF(OR($D18="",$E18="",NOT(ISNUMBER($D18))),"",IF(AND($E18&lt;=T$10,IF($F18="",$X$10,$F18)&gt;=T$10),$D18/12*(1+N($G18))^IF(AND(ISNUMBER($H18),T$10&gt;=$H18),1+INT(DATEDIF($H18,T$10,"m")/12),0),0))</f>
        <v>9166.66666666667</v>
      </c>
      <c r="U18" s="323" t="n">
        <f aca="false">IF(OR($D18="",$E18="",NOT(ISNUMBER($D18))),"",IF(AND($E18&lt;=U$10,IF($F18="",$X$10,$F18)&gt;=U$10),$D18/12*(1+N($G18))^IF(AND(ISNUMBER($H18),U$10&gt;=$H18),1+INT(DATEDIF($H18,U$10,"m")/12),0),0))</f>
        <v>9166.66666666667</v>
      </c>
      <c r="V18" s="323" t="n">
        <f aca="false">IF(OR($D18="",$E18="",NOT(ISNUMBER($D18))),"",IF(AND($E18&lt;=V$10,IF($F18="",$X$10,$F18)&gt;=V$10),$D18/12*(1+N($G18))^IF(AND(ISNUMBER($H18),V$10&gt;=$H18),1+INT(DATEDIF($H18,V$10,"m")/12),0),0))</f>
        <v>9441.66666666667</v>
      </c>
      <c r="W18" s="323" t="n">
        <f aca="false">IF(OR($D18="",$E18="",NOT(ISNUMBER($D18))),"",IF(AND($E18&lt;=W$10,IF($F18="",$X$10,$F18)&gt;=W$10),$D18/12*(1+N($G18))^IF(AND(ISNUMBER($H18),W$10&gt;=$H18),1+INT(DATEDIF($H18,W$10,"m")/12),0),0))</f>
        <v>9441.66666666667</v>
      </c>
      <c r="X18" s="323" t="n">
        <f aca="false">IF(OR($D18="",$E18="",NOT(ISNUMBER($D18))),"",IF(AND($E18&lt;=X$10,IF($F18="",$X$10,$F18)&gt;=X$10),$D18/12*(1+N($G18))^IF(AND(ISNUMBER($H18),X$10&gt;=$H18),1+INT(DATEDIF($H18,X$10,"m")/12),0),0))</f>
        <v>9441.66666666667</v>
      </c>
      <c r="Y18" s="323"/>
      <c r="Z18" s="323" t="n">
        <f aca="false">SUM(M18:X18)</f>
        <v>110825</v>
      </c>
      <c r="AB18" s="325" t="str">
        <f aca="false">IF($D18&amp;$E18="","",IF(AND($D18&lt;&gt;"",NOT(ISNUMBER($D18))),"Salary must be a number",IF(AND($D18&lt;&gt;"",$E18=""),"Start month missing",IF(AND(ISNUMBER($E18),ISNUMBER($F18),$F18&lt;$E18),"End is before Start",IF(AND($D18&lt;&gt;"",NOT(ISNUMBER($H18))),"Increase month missing","")))))</f>
        <v/>
      </c>
    </row>
    <row r="19" customFormat="false" ht="14.4" hidden="false" customHeight="false" outlineLevel="0" collapsed="false">
      <c r="B19" s="318"/>
      <c r="C19" s="318"/>
      <c r="D19" s="319"/>
      <c r="E19" s="320" t="n">
        <v>46266</v>
      </c>
      <c r="F19" s="320" t="n">
        <v>46722</v>
      </c>
      <c r="G19" s="321" t="n">
        <v>0.03</v>
      </c>
      <c r="H19" s="322" t="n">
        <f aca="false">$D$8</f>
        <v>46661</v>
      </c>
      <c r="I19" s="323" t="str">
        <f aca="false">IF(OR($D19="",$E19="",NOT(ISNUMBER($D19))),"",IF(AND($E19&lt;=I$10,IF($F19="",$X$10,$F19)&gt;=I$10),$D19/12*(1+N($G19))^IF(AND(ISNUMBER($H19),I$10&gt;=$H19),1+INT(DATEDIF($H19,I$10,"m")/12),0),0))</f>
        <v/>
      </c>
      <c r="J19" s="323" t="str">
        <f aca="false">IF(OR($D19="",$E19="",NOT(ISNUMBER($D19))),"",IF(AND($E19&lt;=J$10,IF($F19="",$X$10,$F19)&gt;=J$10),$D19/12*(1+N($G19))^IF(AND(ISNUMBER($H19),J$10&gt;=$H19),1+INT(DATEDIF($H19,J$10,"m")/12),0),0))</f>
        <v/>
      </c>
      <c r="K19" s="323" t="str">
        <f aca="false">IF(OR($D19="",$E19="",NOT(ISNUMBER($D19))),"",IF(AND($E19&lt;=K$10,IF($F19="",$X$10,$F19)&gt;=K$10),$D19/12*(1+N($G19))^IF(AND(ISNUMBER($H19),K$10&gt;=$H19),1+INT(DATEDIF($H19,K$10,"m")/12),0),0))</f>
        <v/>
      </c>
      <c r="L19" s="323" t="str">
        <f aca="false">IF(OR($D19="",$E19="",NOT(ISNUMBER($D19))),"",IF(AND($E19&lt;=L$10,IF($F19="",$X$10,$F19)&gt;=L$10),$D19/12*(1+N($G19))^IF(AND(ISNUMBER($H19),L$10&gt;=$H19),1+INT(DATEDIF($H19,L$10,"m")/12),0),0))</f>
        <v/>
      </c>
      <c r="M19" s="323" t="str">
        <f aca="false">IF(OR($D19="",$E19="",NOT(ISNUMBER($D19))),"",IF(AND($E19&lt;=M$10,IF($F19="",$X$10,$F19)&gt;=M$10),$D19/12*(1+N($G19))^IF(AND(ISNUMBER($H19),M$10&gt;=$H19),1+INT(DATEDIF($H19,M$10,"m")/12),0),0))</f>
        <v/>
      </c>
      <c r="N19" s="323" t="str">
        <f aca="false">IF(OR($D19="",$E19="",NOT(ISNUMBER($D19))),"",IF(AND($E19&lt;=N$10,IF($F19="",$X$10,$F19)&gt;=N$10),$D19/12*(1+N($G19))^IF(AND(ISNUMBER($H19),N$10&gt;=$H19),1+INT(DATEDIF($H19,N$10,"m")/12),0),0))</f>
        <v/>
      </c>
      <c r="O19" s="323" t="str">
        <f aca="false">IF(OR($D19="",$E19="",NOT(ISNUMBER($D19))),"",IF(AND($E19&lt;=O$10,IF($F19="",$X$10,$F19)&gt;=O$10),$D19/12*(1+N($G19))^IF(AND(ISNUMBER($H19),O$10&gt;=$H19),1+INT(DATEDIF($H19,O$10,"m")/12),0),0))</f>
        <v/>
      </c>
      <c r="P19" s="323" t="str">
        <f aca="false">IF(OR($D19="",$E19="",NOT(ISNUMBER($D19))),"",IF(AND($E19&lt;=P$10,IF($F19="",$X$10,$F19)&gt;=P$10),$D19/12*(1+N($G19))^IF(AND(ISNUMBER($H19),P$10&gt;=$H19),1+INT(DATEDIF($H19,P$10,"m")/12),0),0))</f>
        <v/>
      </c>
      <c r="Q19" s="323" t="str">
        <f aca="false">IF(OR($D19="",$E19="",NOT(ISNUMBER($D19))),"",IF(AND($E19&lt;=Q$10,IF($F19="",$X$10,$F19)&gt;=Q$10),$D19/12*(1+N($G19))^IF(AND(ISNUMBER($H19),Q$10&gt;=$H19),1+INT(DATEDIF($H19,Q$10,"m")/12),0),0))</f>
        <v/>
      </c>
      <c r="R19" s="323" t="str">
        <f aca="false">IF(OR($D19="",$E19="",NOT(ISNUMBER($D19))),"",IF(AND($E19&lt;=R$10,IF($F19="",$X$10,$F19)&gt;=R$10),$D19/12*(1+N($G19))^IF(AND(ISNUMBER($H19),R$10&gt;=$H19),1+INT(DATEDIF($H19,R$10,"m")/12),0),0))</f>
        <v/>
      </c>
      <c r="S19" s="323" t="str">
        <f aca="false">IF(OR($D19="",$E19="",NOT(ISNUMBER($D19))),"",IF(AND($E19&lt;=S$10,IF($F19="",$X$10,$F19)&gt;=S$10),$D19/12*(1+N($G19))^IF(AND(ISNUMBER($H19),S$10&gt;=$H19),1+INT(DATEDIF($H19,S$10,"m")/12),0),0))</f>
        <v/>
      </c>
      <c r="T19" s="323" t="str">
        <f aca="false">IF(OR($D19="",$E19="",NOT(ISNUMBER($D19))),"",IF(AND($E19&lt;=T$10,IF($F19="",$X$10,$F19)&gt;=T$10),$D19/12*(1+N($G19))^IF(AND(ISNUMBER($H19),T$10&gt;=$H19),1+INT(DATEDIF($H19,T$10,"m")/12),0),0))</f>
        <v/>
      </c>
      <c r="U19" s="323" t="str">
        <f aca="false">IF(OR($D19="",$E19="",NOT(ISNUMBER($D19))),"",IF(AND($E19&lt;=U$10,IF($F19="",$X$10,$F19)&gt;=U$10),$D19/12*(1+N($G19))^IF(AND(ISNUMBER($H19),U$10&gt;=$H19),1+INT(DATEDIF($H19,U$10,"m")/12),0),0))</f>
        <v/>
      </c>
      <c r="V19" s="323" t="str">
        <f aca="false">IF(OR($D19="",$E19="",NOT(ISNUMBER($D19))),"",IF(AND($E19&lt;=V$10,IF($F19="",$X$10,$F19)&gt;=V$10),$D19/12*(1+N($G19))^IF(AND(ISNUMBER($H19),V$10&gt;=$H19),1+INT(DATEDIF($H19,V$10,"m")/12),0),0))</f>
        <v/>
      </c>
      <c r="W19" s="323" t="str">
        <f aca="false">IF(OR($D19="",$E19="",NOT(ISNUMBER($D19))),"",IF(AND($E19&lt;=W$10,IF($F19="",$X$10,$F19)&gt;=W$10),$D19/12*(1+N($G19))^IF(AND(ISNUMBER($H19),W$10&gt;=$H19),1+INT(DATEDIF($H19,W$10,"m")/12),0),0))</f>
        <v/>
      </c>
      <c r="X19" s="323" t="str">
        <f aca="false">IF(OR($D19="",$E19="",NOT(ISNUMBER($D19))),"",IF(AND($E19&lt;=X$10,IF($F19="",$X$10,$F19)&gt;=X$10),$D19/12*(1+N($G19))^IF(AND(ISNUMBER($H19),X$10&gt;=$H19),1+INT(DATEDIF($H19,X$10,"m")/12),0),0))</f>
        <v/>
      </c>
      <c r="Y19" s="323"/>
      <c r="Z19" s="323" t="n">
        <f aca="false">SUM(M19:X19)</f>
        <v>0</v>
      </c>
      <c r="AB19" s="325" t="str">
        <f aca="false">IF($D19&amp;$E19="","",IF(AND($D19&lt;&gt;"",NOT(ISNUMBER($D19))),"Salary must be a number",IF(AND($D19&lt;&gt;"",$E19=""),"Start month missing",IF(AND(ISNUMBER($E19),ISNUMBER($F19),$F19&lt;$E19),"End is before Start",IF(AND($D19&lt;&gt;"",NOT(ISNUMBER($H19))),"Increase month missing","")))))</f>
        <v/>
      </c>
    </row>
    <row r="20" customFormat="false" ht="14.4" hidden="false" customHeight="false" outlineLevel="0" collapsed="false">
      <c r="B20" s="318"/>
      <c r="C20" s="318"/>
      <c r="D20" s="319"/>
      <c r="E20" s="320" t="n">
        <v>46266</v>
      </c>
      <c r="F20" s="320" t="n">
        <v>46722</v>
      </c>
      <c r="G20" s="321" t="n">
        <v>0.03</v>
      </c>
      <c r="H20" s="322" t="n">
        <f aca="false">$D$8</f>
        <v>46661</v>
      </c>
      <c r="I20" s="323" t="str">
        <f aca="false">IF(OR($D20="",$E20="",NOT(ISNUMBER($D20))),"",IF(AND($E20&lt;=I$10,IF($F20="",$X$10,$F20)&gt;=I$10),$D20/12*(1+N($G20))^IF(AND(ISNUMBER($H20),I$10&gt;=$H20),1+INT(DATEDIF($H20,I$10,"m")/12),0),0))</f>
        <v/>
      </c>
      <c r="J20" s="323" t="str">
        <f aca="false">IF(OR($D20="",$E20="",NOT(ISNUMBER($D20))),"",IF(AND($E20&lt;=J$10,IF($F20="",$X$10,$F20)&gt;=J$10),$D20/12*(1+N($G20))^IF(AND(ISNUMBER($H20),J$10&gt;=$H20),1+INT(DATEDIF($H20,J$10,"m")/12),0),0))</f>
        <v/>
      </c>
      <c r="K20" s="323" t="str">
        <f aca="false">IF(OR($D20="",$E20="",NOT(ISNUMBER($D20))),"",IF(AND($E20&lt;=K$10,IF($F20="",$X$10,$F20)&gt;=K$10),$D20/12*(1+N($G20))^IF(AND(ISNUMBER($H20),K$10&gt;=$H20),1+INT(DATEDIF($H20,K$10,"m")/12),0),0))</f>
        <v/>
      </c>
      <c r="L20" s="323" t="str">
        <f aca="false">IF(OR($D20="",$E20="",NOT(ISNUMBER($D20))),"",IF(AND($E20&lt;=L$10,IF($F20="",$X$10,$F20)&gt;=L$10),$D20/12*(1+N($G20))^IF(AND(ISNUMBER($H20),L$10&gt;=$H20),1+INT(DATEDIF($H20,L$10,"m")/12),0),0))</f>
        <v/>
      </c>
      <c r="M20" s="323" t="str">
        <f aca="false">IF(OR($D20="",$E20="",NOT(ISNUMBER($D20))),"",IF(AND($E20&lt;=M$10,IF($F20="",$X$10,$F20)&gt;=M$10),$D20/12*(1+N($G20))^IF(AND(ISNUMBER($H20),M$10&gt;=$H20),1+INT(DATEDIF($H20,M$10,"m")/12),0),0))</f>
        <v/>
      </c>
      <c r="N20" s="323" t="str">
        <f aca="false">IF(OR($D20="",$E20="",NOT(ISNUMBER($D20))),"",IF(AND($E20&lt;=N$10,IF($F20="",$X$10,$F20)&gt;=N$10),$D20/12*(1+N($G20))^IF(AND(ISNUMBER($H20),N$10&gt;=$H20),1+INT(DATEDIF($H20,N$10,"m")/12),0),0))</f>
        <v/>
      </c>
      <c r="O20" s="323" t="str">
        <f aca="false">IF(OR($D20="",$E20="",NOT(ISNUMBER($D20))),"",IF(AND($E20&lt;=O$10,IF($F20="",$X$10,$F20)&gt;=O$10),$D20/12*(1+N($G20))^IF(AND(ISNUMBER($H20),O$10&gt;=$H20),1+INT(DATEDIF($H20,O$10,"m")/12),0),0))</f>
        <v/>
      </c>
      <c r="P20" s="323" t="str">
        <f aca="false">IF(OR($D20="",$E20="",NOT(ISNUMBER($D20))),"",IF(AND($E20&lt;=P$10,IF($F20="",$X$10,$F20)&gt;=P$10),$D20/12*(1+N($G20))^IF(AND(ISNUMBER($H20),P$10&gt;=$H20),1+INT(DATEDIF($H20,P$10,"m")/12),0),0))</f>
        <v/>
      </c>
      <c r="Q20" s="323" t="str">
        <f aca="false">IF(OR($D20="",$E20="",NOT(ISNUMBER($D20))),"",IF(AND($E20&lt;=Q$10,IF($F20="",$X$10,$F20)&gt;=Q$10),$D20/12*(1+N($G20))^IF(AND(ISNUMBER($H20),Q$10&gt;=$H20),1+INT(DATEDIF($H20,Q$10,"m")/12),0),0))</f>
        <v/>
      </c>
      <c r="R20" s="323" t="str">
        <f aca="false">IF(OR($D20="",$E20="",NOT(ISNUMBER($D20))),"",IF(AND($E20&lt;=R$10,IF($F20="",$X$10,$F20)&gt;=R$10),$D20/12*(1+N($G20))^IF(AND(ISNUMBER($H20),R$10&gt;=$H20),1+INT(DATEDIF($H20,R$10,"m")/12),0),0))</f>
        <v/>
      </c>
      <c r="S20" s="323" t="str">
        <f aca="false">IF(OR($D20="",$E20="",NOT(ISNUMBER($D20))),"",IF(AND($E20&lt;=S$10,IF($F20="",$X$10,$F20)&gt;=S$10),$D20/12*(1+N($G20))^IF(AND(ISNUMBER($H20),S$10&gt;=$H20),1+INT(DATEDIF($H20,S$10,"m")/12),0),0))</f>
        <v/>
      </c>
      <c r="T20" s="323" t="str">
        <f aca="false">IF(OR($D20="",$E20="",NOT(ISNUMBER($D20))),"",IF(AND($E20&lt;=T$10,IF($F20="",$X$10,$F20)&gt;=T$10),$D20/12*(1+N($G20))^IF(AND(ISNUMBER($H20),T$10&gt;=$H20),1+INT(DATEDIF($H20,T$10,"m")/12),0),0))</f>
        <v/>
      </c>
      <c r="U20" s="323" t="str">
        <f aca="false">IF(OR($D20="",$E20="",NOT(ISNUMBER($D20))),"",IF(AND($E20&lt;=U$10,IF($F20="",$X$10,$F20)&gt;=U$10),$D20/12*(1+N($G20))^IF(AND(ISNUMBER($H20),U$10&gt;=$H20),1+INT(DATEDIF($H20,U$10,"m")/12),0),0))</f>
        <v/>
      </c>
      <c r="V20" s="323" t="str">
        <f aca="false">IF(OR($D20="",$E20="",NOT(ISNUMBER($D20))),"",IF(AND($E20&lt;=V$10,IF($F20="",$X$10,$F20)&gt;=V$10),$D20/12*(1+N($G20))^IF(AND(ISNUMBER($H20),V$10&gt;=$H20),1+INT(DATEDIF($H20,V$10,"m")/12),0),0))</f>
        <v/>
      </c>
      <c r="W20" s="323" t="str">
        <f aca="false">IF(OR($D20="",$E20="",NOT(ISNUMBER($D20))),"",IF(AND($E20&lt;=W$10,IF($F20="",$X$10,$F20)&gt;=W$10),$D20/12*(1+N($G20))^IF(AND(ISNUMBER($H20),W$10&gt;=$H20),1+INT(DATEDIF($H20,W$10,"m")/12),0),0))</f>
        <v/>
      </c>
      <c r="X20" s="323" t="str">
        <f aca="false">IF(OR($D20="",$E20="",NOT(ISNUMBER($D20))),"",IF(AND($E20&lt;=X$10,IF($F20="",$X$10,$F20)&gt;=X$10),$D20/12*(1+N($G20))^IF(AND(ISNUMBER($H20),X$10&gt;=$H20),1+INT(DATEDIF($H20,X$10,"m")/12),0),0))</f>
        <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4" hidden="false" customHeight="fals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4" hidden="false" customHeight="fals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4" hidden="false" customHeight="fals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4" hidden="false" customHeight="fals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4" hidden="false" customHeight="fals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4" hidden="false" customHeight="fals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4" hidden="false" customHeight="fals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4" hidden="false" customHeight="fals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4" hidden="false" customHeight="fals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4" hidden="false" customHeight="fals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4" hidden="false" customHeight="fals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4" hidden="false" customHeight="fals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4" hidden="false" customHeight="fals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4" hidden="false" customHeight="false" outlineLevel="0" collapsed="false">
      <c r="B34" s="317" t="s">
        <v>3067</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4" hidden="false" customHeight="fals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4" hidden="false" customHeight="fals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4" hidden="false" customHeight="fals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4" hidden="false" customHeight="fals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4" hidden="false" customHeight="fals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4" hidden="false" customHeight="false" outlineLevel="0" collapsed="false">
      <c r="B40" s="317" t="s">
        <v>3068</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4" hidden="false" customHeight="false" outlineLevel="0" collapsed="false">
      <c r="B41" s="318" t="s">
        <v>3105</v>
      </c>
      <c r="C41" s="318" t="s">
        <v>3106</v>
      </c>
      <c r="D41" s="319" t="n">
        <v>90000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7500</v>
      </c>
      <c r="K41" s="323" t="n">
        <f aca="false">IF(OR($D41="",$E41="",NOT(ISNUMBER($D41))),"",IF(AND($E41&lt;=K$10,IF($F41="",$X$10,$F41)&gt;=K$10),$D41/12*(1+N($G41))^IF(AND(ISNUMBER($H41),K$10&gt;=$H41),1+INT(DATEDIF($H41,K$10,"m")/12),0),0))</f>
        <v>7500</v>
      </c>
      <c r="L41" s="323" t="n">
        <f aca="false">IF(OR($D41="",$E41="",NOT(ISNUMBER($D41))),"",IF(AND($E41&lt;=L$10,IF($F41="",$X$10,$F41)&gt;=L$10),$D41/12*(1+N($G41))^IF(AND(ISNUMBER($H41),L$10&gt;=$H41),1+INT(DATEDIF($H41,L$10,"m")/12),0),0))</f>
        <v>7500</v>
      </c>
      <c r="M41" s="323" t="n">
        <f aca="false">IF(OR($D41="",$E41="",NOT(ISNUMBER($D41))),"",IF(AND($E41&lt;=M$10,IF($F41="",$X$10,$F41)&gt;=M$10),$D41/12*(1+N($G41))^IF(AND(ISNUMBER($H41),M$10&gt;=$H41),1+INT(DATEDIF($H41,M$10,"m")/12),0),0))</f>
        <v>7500</v>
      </c>
      <c r="N41" s="323" t="n">
        <f aca="false">IF(OR($D41="",$E41="",NOT(ISNUMBER($D41))),"",IF(AND($E41&lt;=N$10,IF($F41="",$X$10,$F41)&gt;=N$10),$D41/12*(1+N($G41))^IF(AND(ISNUMBER($H41),N$10&gt;=$H41),1+INT(DATEDIF($H41,N$10,"m")/12),0),0))</f>
        <v>7500</v>
      </c>
      <c r="O41" s="323" t="n">
        <f aca="false">IF(OR($D41="",$E41="",NOT(ISNUMBER($D41))),"",IF(AND($E41&lt;=O$10,IF($F41="",$X$10,$F41)&gt;=O$10),$D41/12*(1+N($G41))^IF(AND(ISNUMBER($H41),O$10&gt;=$H41),1+INT(DATEDIF($H41,O$10,"m")/12),0),0))</f>
        <v>7500</v>
      </c>
      <c r="P41" s="323" t="n">
        <f aca="false">IF(OR($D41="",$E41="",NOT(ISNUMBER($D41))),"",IF(AND($E41&lt;=P$10,IF($F41="",$X$10,$F41)&gt;=P$10),$D41/12*(1+N($G41))^IF(AND(ISNUMBER($H41),P$10&gt;=$H41),1+INT(DATEDIF($H41,P$10,"m")/12),0),0))</f>
        <v>7500</v>
      </c>
      <c r="Q41" s="323" t="n">
        <f aca="false">IF(OR($D41="",$E41="",NOT(ISNUMBER($D41))),"",IF(AND($E41&lt;=Q$10,IF($F41="",$X$10,$F41)&gt;=Q$10),$D41/12*(1+N($G41))^IF(AND(ISNUMBER($H41),Q$10&gt;=$H41),1+INT(DATEDIF($H41,Q$10,"m")/12),0),0))</f>
        <v>7500</v>
      </c>
      <c r="R41" s="323" t="n">
        <f aca="false">IF(OR($D41="",$E41="",NOT(ISNUMBER($D41))),"",IF(AND($E41&lt;=R$10,IF($F41="",$X$10,$F41)&gt;=R$10),$D41/12*(1+N($G41))^IF(AND(ISNUMBER($H41),R$10&gt;=$H41),1+INT(DATEDIF($H41,R$10,"m")/12),0),0))</f>
        <v>7500</v>
      </c>
      <c r="S41" s="323" t="n">
        <f aca="false">IF(OR($D41="",$E41="",NOT(ISNUMBER($D41))),"",IF(AND($E41&lt;=S$10,IF($F41="",$X$10,$F41)&gt;=S$10),$D41/12*(1+N($G41))^IF(AND(ISNUMBER($H41),S$10&gt;=$H41),1+INT(DATEDIF($H41,S$10,"m")/12),0),0))</f>
        <v>7500</v>
      </c>
      <c r="T41" s="323" t="n">
        <f aca="false">IF(OR($D41="",$E41="",NOT(ISNUMBER($D41))),"",IF(AND($E41&lt;=T$10,IF($F41="",$X$10,$F41)&gt;=T$10),$D41/12*(1+N($G41))^IF(AND(ISNUMBER($H41),T$10&gt;=$H41),1+INT(DATEDIF($H41,T$10,"m")/12),0),0))</f>
        <v>7500</v>
      </c>
      <c r="U41" s="323" t="n">
        <f aca="false">IF(OR($D41="",$E41="",NOT(ISNUMBER($D41))),"",IF(AND($E41&lt;=U$10,IF($F41="",$X$10,$F41)&gt;=U$10),$D41/12*(1+N($G41))^IF(AND(ISNUMBER($H41),U$10&gt;=$H41),1+INT(DATEDIF($H41,U$10,"m")/12),0),0))</f>
        <v>7500</v>
      </c>
      <c r="V41" s="323" t="n">
        <f aca="false">IF(OR($D41="",$E41="",NOT(ISNUMBER($D41))),"",IF(AND($E41&lt;=V$10,IF($F41="",$X$10,$F41)&gt;=V$10),$D41/12*(1+N($G41))^IF(AND(ISNUMBER($H41),V$10&gt;=$H41),1+INT(DATEDIF($H41,V$10,"m")/12),0),0))</f>
        <v>7725</v>
      </c>
      <c r="W41" s="323" t="n">
        <f aca="false">IF(OR($D41="",$E41="",NOT(ISNUMBER($D41))),"",IF(AND($E41&lt;=W$10,IF($F41="",$X$10,$F41)&gt;=W$10),$D41/12*(1+N($G41))^IF(AND(ISNUMBER($H41),W$10&gt;=$H41),1+INT(DATEDIF($H41,W$10,"m")/12),0),0))</f>
        <v>7725</v>
      </c>
      <c r="X41" s="323" t="n">
        <f aca="false">IF(OR($D41="",$E41="",NOT(ISNUMBER($D41))),"",IF(AND($E41&lt;=X$10,IF($F41="",$X$10,$F41)&gt;=X$10),$D41/12*(1+N($G41))^IF(AND(ISNUMBER($H41),X$10&gt;=$H41),1+INT(DATEDIF($H41,X$10,"m")/12),0),0))</f>
        <v>7725</v>
      </c>
      <c r="Y41" s="323"/>
      <c r="Z41" s="323" t="n">
        <f aca="false">SUM(M41:X41)</f>
        <v>90675</v>
      </c>
      <c r="AB41" s="325" t="str">
        <f aca="false">IF($D41&amp;$E41="","",IF(AND($D41&lt;&gt;"",NOT(ISNUMBER($D41))),"Salary must be a number",IF(AND($D41&lt;&gt;"",$E41=""),"Start month missing",IF(AND(ISNUMBER($E41),ISNUMBER($F41),$F41&lt;$E41),"End is before Start",IF(AND($D41&lt;&gt;"",NOT(ISNUMBER($H41))),"Increase month missing","")))))</f>
        <v/>
      </c>
    </row>
    <row r="42" customFormat="false" ht="14.4" hidden="false" customHeight="fals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4" hidden="false" customHeight="fals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4" hidden="false" customHeight="fals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4" hidden="false" customHeight="fals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4" hidden="false" customHeight="fals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4" hidden="false" customHeight="fals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4" hidden="false" customHeight="fals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4" hidden="false" customHeight="fals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4" hidden="false" customHeight="fals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4" hidden="false" customHeight="false" outlineLevel="0" collapsed="false">
      <c r="A51" s="328" t="s">
        <v>3069</v>
      </c>
      <c r="B51" s="317" t="s">
        <v>3070</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4" hidden="false" customHeight="fals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4" hidden="false" customHeight="fals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4" hidden="false" customHeight="fals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4" hidden="false" customHeight="fals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4" hidden="false" customHeight="fals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4" hidden="false" customHeight="fals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4" hidden="false" customHeight="false" outlineLevel="0" collapsed="false">
      <c r="A58" s="328" t="s">
        <v>3071</v>
      </c>
      <c r="B58" s="317" t="s">
        <v>3072</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4" hidden="false" customHeight="fals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4" hidden="false" customHeight="fals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4" hidden="false" customHeight="fals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4" hidden="false" customHeight="fals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4" hidden="false" customHeight="fals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4" hidden="false" customHeight="fals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4" hidden="false" customHeight="fals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4" hidden="false" customHeight="fals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4" hidden="false" customHeight="false" outlineLevel="0" collapsed="false">
      <c r="B67" s="342" t="s">
        <v>3073</v>
      </c>
      <c r="C67" s="342"/>
      <c r="D67" s="343"/>
      <c r="E67" s="344"/>
      <c r="F67" s="344"/>
      <c r="G67" s="344"/>
      <c r="H67" s="344"/>
      <c r="I67" s="345" t="n">
        <f aca="false">SUM(I14:I57)</f>
        <v>36209.8333333333</v>
      </c>
      <c r="J67" s="345" t="n">
        <f aca="false">SUM(J14:J57)</f>
        <v>43709.8333333333</v>
      </c>
      <c r="K67" s="345" t="n">
        <f aca="false">SUM(K14:K57)</f>
        <v>43709.8333333333</v>
      </c>
      <c r="L67" s="345" t="n">
        <f aca="false">SUM(L14:L57)</f>
        <v>43709.8333333333</v>
      </c>
      <c r="M67" s="345" t="n">
        <f aca="false">SUM(M14:M57)</f>
        <v>52876.5</v>
      </c>
      <c r="N67" s="345" t="n">
        <f aca="false">SUM(N14:N57)</f>
        <v>52876.5</v>
      </c>
      <c r="O67" s="345" t="n">
        <f aca="false">SUM(O14:O57)</f>
        <v>52876.5</v>
      </c>
      <c r="P67" s="345" t="n">
        <f aca="false">SUM(P14:P57)</f>
        <v>52876.5</v>
      </c>
      <c r="Q67" s="345" t="n">
        <f aca="false">SUM(Q14:Q57)</f>
        <v>52876.5</v>
      </c>
      <c r="R67" s="345" t="n">
        <f aca="false">SUM(R14:R57)</f>
        <v>52876.5</v>
      </c>
      <c r="S67" s="345" t="n">
        <f aca="false">SUM(S14:S57)</f>
        <v>52876.5</v>
      </c>
      <c r="T67" s="345" t="n">
        <f aca="false">SUM(T14:T57)</f>
        <v>52876.5</v>
      </c>
      <c r="U67" s="345" t="n">
        <f aca="false">SUM(U14:U57)</f>
        <v>52876.5</v>
      </c>
      <c r="V67" s="345" t="n">
        <f aca="false">SUM(V14:V57)</f>
        <v>54462.795</v>
      </c>
      <c r="W67" s="345" t="n">
        <f aca="false">SUM(W14:W57)</f>
        <v>54462.795</v>
      </c>
      <c r="X67" s="345" t="n">
        <f aca="false">SUM(X14:X57)</f>
        <v>54462.795</v>
      </c>
      <c r="Y67" s="346"/>
      <c r="Z67" s="345" t="n">
        <f aca="false">SUM(M67:X67)</f>
        <v>639276.885</v>
      </c>
    </row>
    <row r="68" customFormat="false" ht="14.4" hidden="false" customHeight="false" outlineLevel="0" collapsed="false">
      <c r="B68" s="342" t="s">
        <v>2288</v>
      </c>
      <c r="C68" s="342"/>
      <c r="D68" s="343"/>
      <c r="E68" s="344"/>
      <c r="F68" s="344"/>
      <c r="G68" s="344"/>
      <c r="H68" s="344"/>
      <c r="I68" s="345" t="n">
        <f aca="false">I67*$D$6</f>
        <v>1890.68054481763</v>
      </c>
      <c r="J68" s="345" t="n">
        <f aca="false">J67*$D$6</f>
        <v>2282.28975095774</v>
      </c>
      <c r="K68" s="345" t="n">
        <f aca="false">K67*$D$6</f>
        <v>2282.28975095774</v>
      </c>
      <c r="L68" s="345" t="n">
        <f aca="false">L67*$D$6</f>
        <v>2282.28975095774</v>
      </c>
      <c r="M68" s="345" t="n">
        <f aca="false">M67*$D$6</f>
        <v>2760.92322512898</v>
      </c>
      <c r="N68" s="345" t="n">
        <f aca="false">N67*$D$6</f>
        <v>2760.92322512898</v>
      </c>
      <c r="O68" s="345" t="n">
        <f aca="false">O67*$D$6</f>
        <v>2760.92322512898</v>
      </c>
      <c r="P68" s="345" t="n">
        <f aca="false">P67*$D$6</f>
        <v>2760.92322512898</v>
      </c>
      <c r="Q68" s="345" t="n">
        <f aca="false">Q67*$D$6</f>
        <v>2760.92322512898</v>
      </c>
      <c r="R68" s="345" t="n">
        <f aca="false">R67*$D$6</f>
        <v>2760.92322512898</v>
      </c>
      <c r="S68" s="345" t="n">
        <f aca="false">S67*$D$6</f>
        <v>2760.92322512898</v>
      </c>
      <c r="T68" s="345" t="n">
        <f aca="false">T67*$D$6</f>
        <v>2760.92322512898</v>
      </c>
      <c r="U68" s="345" t="n">
        <f aca="false">U67*$D$6</f>
        <v>2760.92322512898</v>
      </c>
      <c r="V68" s="345" t="n">
        <f aca="false">V67*$D$6</f>
        <v>2843.75092188285</v>
      </c>
      <c r="W68" s="345" t="n">
        <f aca="false">W67*$D$6</f>
        <v>2843.75092188285</v>
      </c>
      <c r="X68" s="345" t="n">
        <f aca="false">X67*$D$6</f>
        <v>2843.75092188285</v>
      </c>
      <c r="Y68" s="346"/>
      <c r="Z68" s="345" t="n">
        <f aca="false">SUM(M68:X68)</f>
        <v>33379.5617918094</v>
      </c>
    </row>
    <row r="69" customFormat="false" ht="14.4" hidden="false" customHeight="false" outlineLevel="0" collapsed="false">
      <c r="B69" s="342" t="s">
        <v>2289</v>
      </c>
      <c r="C69" s="342"/>
      <c r="D69" s="343"/>
      <c r="E69" s="344"/>
      <c r="F69" s="344"/>
      <c r="G69" s="344"/>
      <c r="H69" s="344"/>
      <c r="I69" s="345" t="n">
        <f aca="false">I67*$D$7</f>
        <v>4311.07226924046</v>
      </c>
      <c r="J69" s="345" t="n">
        <f aca="false">J67*$D$7</f>
        <v>5204.0076694578</v>
      </c>
      <c r="K69" s="345" t="n">
        <f aca="false">K67*$D$7</f>
        <v>5204.0076694578</v>
      </c>
      <c r="L69" s="345" t="n">
        <f aca="false">L67*$D$7</f>
        <v>5204.0076694578</v>
      </c>
      <c r="M69" s="345" t="n">
        <f aca="false">M67*$D$7</f>
        <v>6295.37315861234</v>
      </c>
      <c r="N69" s="345" t="n">
        <f aca="false">N67*$D$7</f>
        <v>6295.37315861234</v>
      </c>
      <c r="O69" s="345" t="n">
        <f aca="false">O67*$D$7</f>
        <v>6295.37315861234</v>
      </c>
      <c r="P69" s="345" t="n">
        <f aca="false">P67*$D$7</f>
        <v>6295.37315861234</v>
      </c>
      <c r="Q69" s="345" t="n">
        <f aca="false">Q67*$D$7</f>
        <v>6295.37315861234</v>
      </c>
      <c r="R69" s="345" t="n">
        <f aca="false">R67*$D$7</f>
        <v>6295.37315861234</v>
      </c>
      <c r="S69" s="345" t="n">
        <f aca="false">S67*$D$7</f>
        <v>6295.37315861234</v>
      </c>
      <c r="T69" s="345" t="n">
        <f aca="false">T67*$D$7</f>
        <v>6295.37315861234</v>
      </c>
      <c r="U69" s="345" t="n">
        <f aca="false">U67*$D$7</f>
        <v>6295.37315861234</v>
      </c>
      <c r="V69" s="345" t="n">
        <f aca="false">V67*$D$7</f>
        <v>6484.23435337071</v>
      </c>
      <c r="W69" s="345" t="n">
        <f aca="false">W67*$D$7</f>
        <v>6484.23435337071</v>
      </c>
      <c r="X69" s="345" t="n">
        <f aca="false">X67*$D$7</f>
        <v>6484.23435337071</v>
      </c>
      <c r="Y69" s="346"/>
      <c r="Z69" s="345" t="n">
        <f aca="false">SUM(M69:X69)</f>
        <v>76111.0614876232</v>
      </c>
    </row>
    <row r="70" customFormat="false" ht="14.4" hidden="false" customHeight="false" outlineLevel="0" collapsed="false">
      <c r="B70" s="347" t="s">
        <v>3074</v>
      </c>
      <c r="C70" s="347"/>
      <c r="D70" s="348"/>
      <c r="E70" s="349"/>
      <c r="F70" s="349"/>
      <c r="G70" s="349"/>
      <c r="H70" s="349"/>
      <c r="I70" s="350" t="n">
        <f aca="false">SUM(I67:I69)</f>
        <v>42411.5861473914</v>
      </c>
      <c r="J70" s="350" t="n">
        <f aca="false">SUM(J67:J69)</f>
        <v>51196.1307537489</v>
      </c>
      <c r="K70" s="350" t="n">
        <f aca="false">SUM(K67:K69)</f>
        <v>51196.1307537489</v>
      </c>
      <c r="L70" s="350" t="n">
        <f aca="false">SUM(L67:L69)</f>
        <v>51196.1307537489</v>
      </c>
      <c r="M70" s="350" t="n">
        <f aca="false">SUM(M67:M69)</f>
        <v>61932.7963837413</v>
      </c>
      <c r="N70" s="350" t="n">
        <f aca="false">SUM(N67:N69)</f>
        <v>61932.7963837413</v>
      </c>
      <c r="O70" s="350" t="n">
        <f aca="false">SUM(O67:O69)</f>
        <v>61932.7963837413</v>
      </c>
      <c r="P70" s="350" t="n">
        <f aca="false">SUM(P67:P69)</f>
        <v>61932.7963837413</v>
      </c>
      <c r="Q70" s="350" t="n">
        <f aca="false">SUM(Q67:Q69)</f>
        <v>61932.7963837413</v>
      </c>
      <c r="R70" s="350" t="n">
        <f aca="false">SUM(R67:R69)</f>
        <v>61932.7963837413</v>
      </c>
      <c r="S70" s="350" t="n">
        <f aca="false">SUM(S67:S69)</f>
        <v>61932.7963837413</v>
      </c>
      <c r="T70" s="350" t="n">
        <f aca="false">SUM(T67:T69)</f>
        <v>61932.7963837413</v>
      </c>
      <c r="U70" s="350" t="n">
        <f aca="false">SUM(U67:U69)</f>
        <v>61932.7963837413</v>
      </c>
      <c r="V70" s="350" t="n">
        <f aca="false">SUM(V67:V69)</f>
        <v>63790.7802752536</v>
      </c>
      <c r="W70" s="350" t="n">
        <f aca="false">SUM(W67:W69)</f>
        <v>63790.7802752536</v>
      </c>
      <c r="X70" s="350" t="n">
        <f aca="false">SUM(X67:X69)</f>
        <v>63790.7802752536</v>
      </c>
      <c r="Y70" s="346"/>
      <c r="Z70" s="350" t="n">
        <f aca="false">SUM(M70:X70)</f>
        <v>748767.508279433</v>
      </c>
    </row>
    <row r="71" customFormat="false" ht="14.4" hidden="false" customHeight="fals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 allowBlank="true" errorStyle="stop" operator="between" showDropDown="false" showErrorMessage="true" showInputMessage="true" sqref="G14:H33 G35:H39 G41:H50 E51:H51 G52:H57 E58:H58 F59:H64 E65:H66" type="whole">
      <formula1>1</formula1>
      <formula2>24</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38" activePane="bottomRight" state="frozen"/>
      <selection pane="topLeft" activeCell="A1" activeCellId="0" sqref="A1"/>
      <selection pane="topRight" activeCell="I1" activeCellId="0" sqref="I1"/>
      <selection pane="bottomLeft" activeCell="A38" activeCellId="0" sqref="A38"/>
      <selection pane="bottomRight" activeCell="F8" activeCellId="0" sqref="F8"/>
    </sheetView>
  </sheetViews>
  <sheetFormatPr defaultColWidth="8.6796875" defaultRowHeight="14.4" zeroHeight="false" outlineLevelRow="0" outlineLevelCol="0"/>
  <cols>
    <col collapsed="false" customWidth="true" hidden="false" outlineLevel="0" max="1" min="1" style="288" width="21.33"/>
    <col collapsed="false" customWidth="true" hidden="false" outlineLevel="0" max="2" min="2" style="0" width="25.33"/>
    <col collapsed="false" customWidth="true" hidden="false" outlineLevel="0" max="3" min="3" style="0" width="32.77"/>
    <col collapsed="false" customWidth="true" hidden="false" outlineLevel="0" max="4" min="4" style="0"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0" width="9.21"/>
    <col collapsed="false" customWidth="true" hidden="false" outlineLevel="0" max="25" min="25" style="0" width="2.44"/>
    <col collapsed="false" customWidth="true" hidden="false" outlineLevel="0" max="26" min="26" style="0" width="11.77"/>
    <col collapsed="false" customWidth="true" hidden="false" outlineLevel="0" max="28" min="28" style="0" width="27.22"/>
  </cols>
  <sheetData>
    <row r="1" customFormat="false" ht="17.35" hidden="false" customHeight="false" outlineLevel="0" collapsed="false">
      <c r="A1" s="290" t="s">
        <v>3026</v>
      </c>
    </row>
    <row r="2" customFormat="false" ht="15.6" hidden="false" customHeight="false" outlineLevel="0" collapsed="false">
      <c r="A2" s="291" t="s">
        <v>3107</v>
      </c>
    </row>
    <row r="3" customFormat="false" ht="14.4" hidden="false" customHeight="false" outlineLevel="0" collapsed="false">
      <c r="A3" s="292" t="s">
        <v>3028</v>
      </c>
    </row>
    <row r="4" customFormat="false" ht="14.4" hidden="false" customHeight="false" outlineLevel="0" collapsed="false">
      <c r="A4" s="293" t="s">
        <v>3108</v>
      </c>
    </row>
    <row r="5" customFormat="false" ht="14.4" hidden="false" customHeight="false" outlineLevel="0" collapsed="false">
      <c r="B5" s="294" t="s">
        <v>3030</v>
      </c>
    </row>
    <row r="6" customFormat="false" ht="14.4" hidden="false" customHeight="false" outlineLevel="0" collapsed="false">
      <c r="B6" s="295" t="s">
        <v>3031</v>
      </c>
      <c r="D6" s="296" t="n">
        <v>0.0406920691613907</v>
      </c>
      <c r="E6" s="297"/>
    </row>
    <row r="7" customFormat="false" ht="14.4" hidden="false" customHeight="false" outlineLevel="0" collapsed="false">
      <c r="B7" s="295" t="s">
        <v>3032</v>
      </c>
      <c r="D7" s="298" t="n">
        <v>0.0722290853789841</v>
      </c>
      <c r="E7" s="297"/>
    </row>
    <row r="8" customFormat="false" ht="14.4" hidden="false" customHeight="false" outlineLevel="0" collapsed="false">
      <c r="B8" s="295" t="s">
        <v>3033</v>
      </c>
      <c r="D8" s="299" t="n">
        <v>46661</v>
      </c>
      <c r="V8" s="300" t="s">
        <v>3034</v>
      </c>
    </row>
    <row r="9" customFormat="false" ht="14.4" hidden="false" customHeight="false" outlineLevel="0" collapsed="false">
      <c r="V9" s="300" t="s">
        <v>3035</v>
      </c>
    </row>
    <row r="10" s="309" customFormat="true" ht="29.55" hidden="false" customHeight="true" outlineLevel="0" collapsed="false">
      <c r="A10" s="301"/>
      <c r="B10" s="302" t="s">
        <v>3036</v>
      </c>
      <c r="C10" s="302" t="s">
        <v>3037</v>
      </c>
      <c r="D10" s="303" t="s">
        <v>3038</v>
      </c>
      <c r="E10" s="303" t="s">
        <v>3039</v>
      </c>
      <c r="F10" s="303" t="s">
        <v>3040</v>
      </c>
      <c r="G10" s="304" t="s">
        <v>3041</v>
      </c>
      <c r="H10" s="304" t="s">
        <v>3042</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3043</v>
      </c>
      <c r="AB10" s="310" t="s">
        <v>3044</v>
      </c>
    </row>
    <row r="11" customFormat="false" ht="14.4" hidden="false" customHeight="false" outlineLevel="0" collapsed="false">
      <c r="E11" s="311" t="s">
        <v>3045</v>
      </c>
      <c r="F11" s="311" t="s">
        <v>3045</v>
      </c>
      <c r="G11" s="312"/>
      <c r="H11" s="313" t="s">
        <v>3046</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4" hidden="false" customHeight="fals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4" hidden="false" customHeight="false" outlineLevel="0" collapsed="false">
      <c r="B13" s="317" t="s">
        <v>3047</v>
      </c>
    </row>
    <row r="14" customFormat="false" ht="14.4" hidden="false" customHeight="false" outlineLevel="0" collapsed="false">
      <c r="B14" s="318" t="s">
        <v>3109</v>
      </c>
      <c r="C14" s="318" t="s">
        <v>3110</v>
      </c>
      <c r="D14" s="319" t="n">
        <v>98591</v>
      </c>
      <c r="E14" s="320" t="n">
        <v>46266</v>
      </c>
      <c r="F14" s="320" t="n">
        <v>46722</v>
      </c>
      <c r="G14" s="321" t="n">
        <v>0.03</v>
      </c>
      <c r="H14" s="322" t="n">
        <f aca="false">$D$8</f>
        <v>46661</v>
      </c>
      <c r="I14" s="323" t="n">
        <f aca="false">IF(OR($D14="",$E14="",NOT(ISNUMBER($D14))),"",IF(AND($E14&lt;=I$10,IF($F14="",$X$10,$F14)&gt;=I$10),$D14/12*(1+N($G14))^IF(AND(ISNUMBER($H14),I$10&gt;=$H14),1+INT(DATEDIF($H14,I$10,"m")/12),0),0))</f>
        <v>8215.91666666667</v>
      </c>
      <c r="J14" s="323" t="n">
        <f aca="false">IF(OR($D14="",$E14="",NOT(ISNUMBER($D14))),"",IF(AND($E14&lt;=J$10,IF($F14="",$X$10,$F14)&gt;=J$10),$D14/12*(1+N($G14))^IF(AND(ISNUMBER($H14),J$10&gt;=$H14),1+INT(DATEDIF($H14,J$10,"m")/12),0),0))</f>
        <v>8215.91666666667</v>
      </c>
      <c r="K14" s="323" t="n">
        <f aca="false">IF(OR($D14="",$E14="",NOT(ISNUMBER($D14))),"",IF(AND($E14&lt;=K$10,IF($F14="",$X$10,$F14)&gt;=K$10),$D14/12*(1+N($G14))^IF(AND(ISNUMBER($H14),K$10&gt;=$H14),1+INT(DATEDIF($H14,K$10,"m")/12),0),0))</f>
        <v>8215.91666666667</v>
      </c>
      <c r="L14" s="323" t="n">
        <f aca="false">IF(OR($D14="",$E14="",NOT(ISNUMBER($D14))),"",IF(AND($E14&lt;=L$10,IF($F14="",$X$10,$F14)&gt;=L$10),$D14/12*(1+N($G14))^IF(AND(ISNUMBER($H14),L$10&gt;=$H14),1+INT(DATEDIF($H14,L$10,"m")/12),0),0))</f>
        <v>8215.91666666667</v>
      </c>
      <c r="M14" s="324" t="n">
        <f aca="false">IF(OR($D14="",$E14="",NOT(ISNUMBER($D14))),"",IF(AND($E14&lt;=M$10,IF($F14="",$X$10,$F14)&gt;=M$10),$D14/12*(1+N($G14))^IF(AND(ISNUMBER($H14),M$10&gt;=$H14),1+INT(DATEDIF($H14,M$10,"m")/12),0),0))</f>
        <v>8215.91666666667</v>
      </c>
      <c r="N14" s="323" t="n">
        <f aca="false">IF(OR($D14="",$E14="",NOT(ISNUMBER($D14))),"",IF(AND($E14&lt;=N$10,IF($F14="",$X$10,$F14)&gt;=N$10),$D14/12*(1+N($G14))^IF(AND(ISNUMBER($H14),N$10&gt;=$H14),1+INT(DATEDIF($H14,N$10,"m")/12),0),0))</f>
        <v>8215.91666666667</v>
      </c>
      <c r="O14" s="323" t="n">
        <f aca="false">IF(OR($D14="",$E14="",NOT(ISNUMBER($D14))),"",IF(AND($E14&lt;=O$10,IF($F14="",$X$10,$F14)&gt;=O$10),$D14/12*(1+N($G14))^IF(AND(ISNUMBER($H14),O$10&gt;=$H14),1+INT(DATEDIF($H14,O$10,"m")/12),0),0))</f>
        <v>8215.91666666667</v>
      </c>
      <c r="P14" s="323" t="n">
        <f aca="false">IF(OR($D14="",$E14="",NOT(ISNUMBER($D14))),"",IF(AND($E14&lt;=P$10,IF($F14="",$X$10,$F14)&gt;=P$10),$D14/12*(1+N($G14))^IF(AND(ISNUMBER($H14),P$10&gt;=$H14),1+INT(DATEDIF($H14,P$10,"m")/12),0),0))</f>
        <v>8215.91666666667</v>
      </c>
      <c r="Q14" s="323" t="n">
        <f aca="false">IF(OR($D14="",$E14="",NOT(ISNUMBER($D14))),"",IF(AND($E14&lt;=Q$10,IF($F14="",$X$10,$F14)&gt;=Q$10),$D14/12*(1+N($G14))^IF(AND(ISNUMBER($H14),Q$10&gt;=$H14),1+INT(DATEDIF($H14,Q$10,"m")/12),0),0))</f>
        <v>8215.91666666667</v>
      </c>
      <c r="R14" s="323" t="n">
        <f aca="false">IF(OR($D14="",$E14="",NOT(ISNUMBER($D14))),"",IF(AND($E14&lt;=R$10,IF($F14="",$X$10,$F14)&gt;=R$10),$D14/12*(1+N($G14))^IF(AND(ISNUMBER($H14),R$10&gt;=$H14),1+INT(DATEDIF($H14,R$10,"m")/12),0),0))</f>
        <v>8215.91666666667</v>
      </c>
      <c r="S14" s="323" t="n">
        <f aca="false">IF(OR($D14="",$E14="",NOT(ISNUMBER($D14))),"",IF(AND($E14&lt;=S$10,IF($F14="",$X$10,$F14)&gt;=S$10),$D14/12*(1+N($G14))^IF(AND(ISNUMBER($H14),S$10&gt;=$H14),1+INT(DATEDIF($H14,S$10,"m")/12),0),0))</f>
        <v>8215.91666666667</v>
      </c>
      <c r="T14" s="323" t="n">
        <f aca="false">IF(OR($D14="",$E14="",NOT(ISNUMBER($D14))),"",IF(AND($E14&lt;=T$10,IF($F14="",$X$10,$F14)&gt;=T$10),$D14/12*(1+N($G14))^IF(AND(ISNUMBER($H14),T$10&gt;=$H14),1+INT(DATEDIF($H14,T$10,"m")/12),0),0))</f>
        <v>8215.91666666667</v>
      </c>
      <c r="U14" s="323" t="n">
        <f aca="false">IF(OR($D14="",$E14="",NOT(ISNUMBER($D14))),"",IF(AND($E14&lt;=U$10,IF($F14="",$X$10,$F14)&gt;=U$10),$D14/12*(1+N($G14))^IF(AND(ISNUMBER($H14),U$10&gt;=$H14),1+INT(DATEDIF($H14,U$10,"m")/12),0),0))</f>
        <v>8215.91666666667</v>
      </c>
      <c r="V14" s="323" t="n">
        <f aca="false">IF(OR($D14="",$E14="",NOT(ISNUMBER($D14))),"",IF(AND($E14&lt;=V$10,IF($F14="",$X$10,$F14)&gt;=V$10),$D14/12*(1+N($G14))^IF(AND(ISNUMBER($H14),V$10&gt;=$H14),1+INT(DATEDIF($H14,V$10,"m")/12),0),0))</f>
        <v>8462.39416666667</v>
      </c>
      <c r="W14" s="323" t="n">
        <f aca="false">IF(OR($D14="",$E14="",NOT(ISNUMBER($D14))),"",IF(AND($E14&lt;=W$10,IF($F14="",$X$10,$F14)&gt;=W$10),$D14/12*(1+N($G14))^IF(AND(ISNUMBER($H14),W$10&gt;=$H14),1+INT(DATEDIF($H14,W$10,"m")/12),0),0))</f>
        <v>8462.39416666667</v>
      </c>
      <c r="X14" s="323" t="n">
        <f aca="false">IF(OR($D14="",$E14="",NOT(ISNUMBER($D14))),"",IF(AND($E14&lt;=X$10,IF($F14="",$X$10,$F14)&gt;=X$10),$D14/12*(1+N($G14))^IF(AND(ISNUMBER($H14),X$10&gt;=$H14),1+INT(DATEDIF($H14,X$10,"m")/12),0),0))</f>
        <v>8462.39416666667</v>
      </c>
      <c r="Y14" s="323"/>
      <c r="Z14" s="323" t="n">
        <f aca="false">SUM(M14:X14)</f>
        <v>99330.4325</v>
      </c>
      <c r="AB14" s="325" t="str">
        <f aca="false">IF($D14&amp;$E14="","",IF(AND($D14&lt;&gt;"",NOT(ISNUMBER($D14))),"Salary must be a number",IF(AND($D14&lt;&gt;"",$E14=""),"Start month missing",IF(AND(ISNUMBER($E14),ISNUMBER($F14),$F14&lt;$E14),"End is before Start",IF(AND($D14&lt;&gt;"",NOT(ISNUMBER($H14))),"Increase month missing","")))))</f>
        <v/>
      </c>
    </row>
    <row r="15" customFormat="false" ht="14.4" hidden="false" customHeight="false" outlineLevel="0" collapsed="false">
      <c r="B15" s="318" t="s">
        <v>3111</v>
      </c>
      <c r="C15" s="318" t="s">
        <v>3112</v>
      </c>
      <c r="D15" s="319" t="n">
        <v>72080</v>
      </c>
      <c r="E15" s="320" t="n">
        <v>46266</v>
      </c>
      <c r="F15" s="320" t="n">
        <v>46722</v>
      </c>
      <c r="G15" s="321" t="n">
        <v>0.03</v>
      </c>
      <c r="H15" s="322" t="n">
        <f aca="false">$D$8</f>
        <v>46661</v>
      </c>
      <c r="I15" s="323" t="n">
        <f aca="false">IF(OR($D15="",$E15="",NOT(ISNUMBER($D15))),"",IF(AND($E15&lt;=I$10,IF($F15="",$X$10,$F15)&gt;=I$10),$D15/12*(1+N($G15))^IF(AND(ISNUMBER($H15),I$10&gt;=$H15),1+INT(DATEDIF($H15,I$10,"m")/12),0),0))</f>
        <v>6006.66666666667</v>
      </c>
      <c r="J15" s="323" t="n">
        <f aca="false">IF(OR($D15="",$E15="",NOT(ISNUMBER($D15))),"",IF(AND($E15&lt;=J$10,IF($F15="",$X$10,$F15)&gt;=J$10),$D15/12*(1+N($G15))^IF(AND(ISNUMBER($H15),J$10&gt;=$H15),1+INT(DATEDIF($H15,J$10,"m")/12),0),0))</f>
        <v>6006.66666666667</v>
      </c>
      <c r="K15" s="323" t="n">
        <f aca="false">IF(OR($D15="",$E15="",NOT(ISNUMBER($D15))),"",IF(AND($E15&lt;=K$10,IF($F15="",$X$10,$F15)&gt;=K$10),$D15/12*(1+N($G15))^IF(AND(ISNUMBER($H15),K$10&gt;=$H15),1+INT(DATEDIF($H15,K$10,"m")/12),0),0))</f>
        <v>6006.66666666667</v>
      </c>
      <c r="L15" s="323" t="n">
        <f aca="false">IF(OR($D15="",$E15="",NOT(ISNUMBER($D15))),"",IF(AND($E15&lt;=L$10,IF($F15="",$X$10,$F15)&gt;=L$10),$D15/12*(1+N($G15))^IF(AND(ISNUMBER($H15),L$10&gt;=$H15),1+INT(DATEDIF($H15,L$10,"m")/12),0),0))</f>
        <v>6006.66666666667</v>
      </c>
      <c r="M15" s="323" t="n">
        <f aca="false">IF(OR($D15="",$E15="",NOT(ISNUMBER($D15))),"",IF(AND($E15&lt;=M$10,IF($F15="",$X$10,$F15)&gt;=M$10),$D15/12*(1+N($G15))^IF(AND(ISNUMBER($H15),M$10&gt;=$H15),1+INT(DATEDIF($H15,M$10,"m")/12),0),0))</f>
        <v>6006.66666666667</v>
      </c>
      <c r="N15" s="323" t="n">
        <f aca="false">IF(OR($D15="",$E15="",NOT(ISNUMBER($D15))),"",IF(AND($E15&lt;=N$10,IF($F15="",$X$10,$F15)&gt;=N$10),$D15/12*(1+N($G15))^IF(AND(ISNUMBER($H15),N$10&gt;=$H15),1+INT(DATEDIF($H15,N$10,"m")/12),0),0))</f>
        <v>6006.66666666667</v>
      </c>
      <c r="O15" s="323" t="n">
        <f aca="false">IF(OR($D15="",$E15="",NOT(ISNUMBER($D15))),"",IF(AND($E15&lt;=O$10,IF($F15="",$X$10,$F15)&gt;=O$10),$D15/12*(1+N($G15))^IF(AND(ISNUMBER($H15),O$10&gt;=$H15),1+INT(DATEDIF($H15,O$10,"m")/12),0),0))</f>
        <v>6006.66666666667</v>
      </c>
      <c r="P15" s="323" t="n">
        <f aca="false">IF(OR($D15="",$E15="",NOT(ISNUMBER($D15))),"",IF(AND($E15&lt;=P$10,IF($F15="",$X$10,$F15)&gt;=P$10),$D15/12*(1+N($G15))^IF(AND(ISNUMBER($H15),P$10&gt;=$H15),1+INT(DATEDIF($H15,P$10,"m")/12),0),0))</f>
        <v>6006.66666666667</v>
      </c>
      <c r="Q15" s="323" t="n">
        <f aca="false">IF(OR($D15="",$E15="",NOT(ISNUMBER($D15))),"",IF(AND($E15&lt;=Q$10,IF($F15="",$X$10,$F15)&gt;=Q$10),$D15/12*(1+N($G15))^IF(AND(ISNUMBER($H15),Q$10&gt;=$H15),1+INT(DATEDIF($H15,Q$10,"m")/12),0),0))</f>
        <v>6006.66666666667</v>
      </c>
      <c r="R15" s="323" t="n">
        <f aca="false">IF(OR($D15="",$E15="",NOT(ISNUMBER($D15))),"",IF(AND($E15&lt;=R$10,IF($F15="",$X$10,$F15)&gt;=R$10),$D15/12*(1+N($G15))^IF(AND(ISNUMBER($H15),R$10&gt;=$H15),1+INT(DATEDIF($H15,R$10,"m")/12),0),0))</f>
        <v>6006.66666666667</v>
      </c>
      <c r="S15" s="323" t="n">
        <f aca="false">IF(OR($D15="",$E15="",NOT(ISNUMBER($D15))),"",IF(AND($E15&lt;=S$10,IF($F15="",$X$10,$F15)&gt;=S$10),$D15/12*(1+N($G15))^IF(AND(ISNUMBER($H15),S$10&gt;=$H15),1+INT(DATEDIF($H15,S$10,"m")/12),0),0))</f>
        <v>6006.66666666667</v>
      </c>
      <c r="T15" s="323" t="n">
        <f aca="false">IF(OR($D15="",$E15="",NOT(ISNUMBER($D15))),"",IF(AND($E15&lt;=T$10,IF($F15="",$X$10,$F15)&gt;=T$10),$D15/12*(1+N($G15))^IF(AND(ISNUMBER($H15),T$10&gt;=$H15),1+INT(DATEDIF($H15,T$10,"m")/12),0),0))</f>
        <v>6006.66666666667</v>
      </c>
      <c r="U15" s="323" t="n">
        <f aca="false">IF(OR($D15="",$E15="",NOT(ISNUMBER($D15))),"",IF(AND($E15&lt;=U$10,IF($F15="",$X$10,$F15)&gt;=U$10),$D15/12*(1+N($G15))^IF(AND(ISNUMBER($H15),U$10&gt;=$H15),1+INT(DATEDIF($H15,U$10,"m")/12),0),0))</f>
        <v>6006.66666666667</v>
      </c>
      <c r="V15" s="323" t="n">
        <f aca="false">IF(OR($D15="",$E15="",NOT(ISNUMBER($D15))),"",IF(AND($E15&lt;=V$10,IF($F15="",$X$10,$F15)&gt;=V$10),$D15/12*(1+N($G15))^IF(AND(ISNUMBER($H15),V$10&gt;=$H15),1+INT(DATEDIF($H15,V$10,"m")/12),0),0))</f>
        <v>6186.86666666667</v>
      </c>
      <c r="W15" s="323" t="n">
        <f aca="false">IF(OR($D15="",$E15="",NOT(ISNUMBER($D15))),"",IF(AND($E15&lt;=W$10,IF($F15="",$X$10,$F15)&gt;=W$10),$D15/12*(1+N($G15))^IF(AND(ISNUMBER($H15),W$10&gt;=$H15),1+INT(DATEDIF($H15,W$10,"m")/12),0),0))</f>
        <v>6186.86666666667</v>
      </c>
      <c r="X15" s="323" t="n">
        <f aca="false">IF(OR($D15="",$E15="",NOT(ISNUMBER($D15))),"",IF(AND($E15&lt;=X$10,IF($F15="",$X$10,$F15)&gt;=X$10),$D15/12*(1+N($G15))^IF(AND(ISNUMBER($H15),X$10&gt;=$H15),1+INT(DATEDIF($H15,X$10,"m")/12),0),0))</f>
        <v>6186.86666666667</v>
      </c>
      <c r="Y15" s="323"/>
      <c r="Z15" s="323" t="n">
        <f aca="false">SUM(M15:X15)</f>
        <v>72620.6</v>
      </c>
      <c r="AB15" s="325" t="str">
        <f aca="false">IF($D15&amp;$E15="","",IF(AND($D15&lt;&gt;"",NOT(ISNUMBER($D15))),"Salary must be a number",IF(AND($D15&lt;&gt;"",$E15=""),"Start month missing",IF(AND(ISNUMBER($E15),ISNUMBER($F15),$F15&lt;$E15),"End is before Start",IF(AND($D15&lt;&gt;"",NOT(ISNUMBER($H15))),"Increase month missing","")))))</f>
        <v/>
      </c>
    </row>
    <row r="16" customFormat="false" ht="14.4" hidden="false" customHeight="false" outlineLevel="0" collapsed="false">
      <c r="B16" s="318" t="s">
        <v>3113</v>
      </c>
      <c r="C16" s="318" t="s">
        <v>3114</v>
      </c>
      <c r="D16" s="319" t="n">
        <v>205000</v>
      </c>
      <c r="E16" s="320" t="n">
        <v>46266</v>
      </c>
      <c r="F16" s="320" t="n">
        <v>46722</v>
      </c>
      <c r="G16" s="321" t="n">
        <v>0.03</v>
      </c>
      <c r="H16" s="322" t="n">
        <f aca="false">$D$8</f>
        <v>46661</v>
      </c>
      <c r="I16" s="323" t="n">
        <f aca="false">IF(OR($D16="",$E16="",NOT(ISNUMBER($D16))),"",IF(AND($E16&lt;=I$10,IF($F16="",$X$10,$F16)&gt;=I$10),$D16/12*(1+N($G16))^IF(AND(ISNUMBER($H16),I$10&gt;=$H16),1+INT(DATEDIF($H16,I$10,"m")/12),0),0))</f>
        <v>17083.3333333333</v>
      </c>
      <c r="J16" s="323" t="n">
        <f aca="false">IF(OR($D16="",$E16="",NOT(ISNUMBER($D16))),"",IF(AND($E16&lt;=J$10,IF($F16="",$X$10,$F16)&gt;=J$10),$D16/12*(1+N($G16))^IF(AND(ISNUMBER($H16),J$10&gt;=$H16),1+INT(DATEDIF($H16,J$10,"m")/12),0),0))</f>
        <v>17083.3333333333</v>
      </c>
      <c r="K16" s="323" t="n">
        <f aca="false">IF(OR($D16="",$E16="",NOT(ISNUMBER($D16))),"",IF(AND($E16&lt;=K$10,IF($F16="",$X$10,$F16)&gt;=K$10),$D16/12*(1+N($G16))^IF(AND(ISNUMBER($H16),K$10&gt;=$H16),1+INT(DATEDIF($H16,K$10,"m")/12),0),0))</f>
        <v>17083.3333333333</v>
      </c>
      <c r="L16" s="323" t="n">
        <f aca="false">IF(OR($D16="",$E16="",NOT(ISNUMBER($D16))),"",IF(AND($E16&lt;=L$10,IF($F16="",$X$10,$F16)&gt;=L$10),$D16/12*(1+N($G16))^IF(AND(ISNUMBER($H16),L$10&gt;=$H16),1+INT(DATEDIF($H16,L$10,"m")/12),0),0))</f>
        <v>17083.3333333333</v>
      </c>
      <c r="M16" s="323" t="n">
        <f aca="false">IF(OR($D16="",$E16="",NOT(ISNUMBER($D16))),"",IF(AND($E16&lt;=M$10,IF($F16="",$X$10,$F16)&gt;=M$10),$D16/12*(1+N($G16))^IF(AND(ISNUMBER($H16),M$10&gt;=$H16),1+INT(DATEDIF($H16,M$10,"m")/12),0),0))</f>
        <v>17083.3333333333</v>
      </c>
      <c r="N16" s="323" t="n">
        <f aca="false">IF(OR($D16="",$E16="",NOT(ISNUMBER($D16))),"",IF(AND($E16&lt;=N$10,IF($F16="",$X$10,$F16)&gt;=N$10),$D16/12*(1+N($G16))^IF(AND(ISNUMBER($H16),N$10&gt;=$H16),1+INT(DATEDIF($H16,N$10,"m")/12),0),0))</f>
        <v>17083.3333333333</v>
      </c>
      <c r="O16" s="323" t="n">
        <f aca="false">IF(OR($D16="",$E16="",NOT(ISNUMBER($D16))),"",IF(AND($E16&lt;=O$10,IF($F16="",$X$10,$F16)&gt;=O$10),$D16/12*(1+N($G16))^IF(AND(ISNUMBER($H16),O$10&gt;=$H16),1+INT(DATEDIF($H16,O$10,"m")/12),0),0))</f>
        <v>17083.3333333333</v>
      </c>
      <c r="P16" s="323" t="n">
        <f aca="false">IF(OR($D16="",$E16="",NOT(ISNUMBER($D16))),"",IF(AND($E16&lt;=P$10,IF($F16="",$X$10,$F16)&gt;=P$10),$D16/12*(1+N($G16))^IF(AND(ISNUMBER($H16),P$10&gt;=$H16),1+INT(DATEDIF($H16,P$10,"m")/12),0),0))</f>
        <v>17083.3333333333</v>
      </c>
      <c r="Q16" s="323" t="n">
        <f aca="false">IF(OR($D16="",$E16="",NOT(ISNUMBER($D16))),"",IF(AND($E16&lt;=Q$10,IF($F16="",$X$10,$F16)&gt;=Q$10),$D16/12*(1+N($G16))^IF(AND(ISNUMBER($H16),Q$10&gt;=$H16),1+INT(DATEDIF($H16,Q$10,"m")/12),0),0))</f>
        <v>17083.3333333333</v>
      </c>
      <c r="R16" s="323" t="n">
        <f aca="false">IF(OR($D16="",$E16="",NOT(ISNUMBER($D16))),"",IF(AND($E16&lt;=R$10,IF($F16="",$X$10,$F16)&gt;=R$10),$D16/12*(1+N($G16))^IF(AND(ISNUMBER($H16),R$10&gt;=$H16),1+INT(DATEDIF($H16,R$10,"m")/12),0),0))</f>
        <v>17083.3333333333</v>
      </c>
      <c r="S16" s="323" t="n">
        <f aca="false">IF(OR($D16="",$E16="",NOT(ISNUMBER($D16))),"",IF(AND($E16&lt;=S$10,IF($F16="",$X$10,$F16)&gt;=S$10),$D16/12*(1+N($G16))^IF(AND(ISNUMBER($H16),S$10&gt;=$H16),1+INT(DATEDIF($H16,S$10,"m")/12),0),0))</f>
        <v>17083.3333333333</v>
      </c>
      <c r="T16" s="323" t="n">
        <f aca="false">IF(OR($D16="",$E16="",NOT(ISNUMBER($D16))),"",IF(AND($E16&lt;=T$10,IF($F16="",$X$10,$F16)&gt;=T$10),$D16/12*(1+N($G16))^IF(AND(ISNUMBER($H16),T$10&gt;=$H16),1+INT(DATEDIF($H16,T$10,"m")/12),0),0))</f>
        <v>17083.3333333333</v>
      </c>
      <c r="U16" s="323" t="n">
        <f aca="false">IF(OR($D16="",$E16="",NOT(ISNUMBER($D16))),"",IF(AND($E16&lt;=U$10,IF($F16="",$X$10,$F16)&gt;=U$10),$D16/12*(1+N($G16))^IF(AND(ISNUMBER($H16),U$10&gt;=$H16),1+INT(DATEDIF($H16,U$10,"m")/12),0),0))</f>
        <v>17083.3333333333</v>
      </c>
      <c r="V16" s="323" t="n">
        <f aca="false">IF(OR($D16="",$E16="",NOT(ISNUMBER($D16))),"",IF(AND($E16&lt;=V$10,IF($F16="",$X$10,$F16)&gt;=V$10),$D16/12*(1+N($G16))^IF(AND(ISNUMBER($H16),V$10&gt;=$H16),1+INT(DATEDIF($H16,V$10,"m")/12),0),0))</f>
        <v>17595.8333333333</v>
      </c>
      <c r="W16" s="323" t="n">
        <f aca="false">IF(OR($D16="",$E16="",NOT(ISNUMBER($D16))),"",IF(AND($E16&lt;=W$10,IF($F16="",$X$10,$F16)&gt;=W$10),$D16/12*(1+N($G16))^IF(AND(ISNUMBER($H16),W$10&gt;=$H16),1+INT(DATEDIF($H16,W$10,"m")/12),0),0))</f>
        <v>17595.8333333333</v>
      </c>
      <c r="X16" s="323" t="n">
        <f aca="false">IF(OR($D16="",$E16="",NOT(ISNUMBER($D16))),"",IF(AND($E16&lt;=X$10,IF($F16="",$X$10,$F16)&gt;=X$10),$D16/12*(1+N($G16))^IF(AND(ISNUMBER($H16),X$10&gt;=$H16),1+INT(DATEDIF($H16,X$10,"m")/12),0),0))</f>
        <v>17595.8333333333</v>
      </c>
      <c r="Y16" s="323"/>
      <c r="Z16" s="323" t="n">
        <f aca="false">SUM(M16:X16)</f>
        <v>206537.5</v>
      </c>
      <c r="AB16" s="325" t="str">
        <f aca="false">IF($D16&amp;$E16="","",IF(AND($D16&lt;&gt;"",NOT(ISNUMBER($D16))),"Salary must be a number",IF(AND($D16&lt;&gt;"",$E16=""),"Start month missing",IF(AND(ISNUMBER($E16),ISNUMBER($F16),$F16&lt;$E16),"End is before Start",IF(AND($D16&lt;&gt;"",NOT(ISNUMBER($H16))),"Increase month missing","")))))</f>
        <v/>
      </c>
    </row>
    <row r="17" customFormat="false" ht="14.4" hidden="false" customHeight="false" outlineLevel="0" collapsed="false">
      <c r="B17" s="318" t="s">
        <v>3115</v>
      </c>
      <c r="C17" s="318" t="s">
        <v>3116</v>
      </c>
      <c r="D17" s="319" t="n">
        <v>160000</v>
      </c>
      <c r="E17" s="320" t="n">
        <v>46266</v>
      </c>
      <c r="F17" s="320" t="n">
        <v>46722</v>
      </c>
      <c r="G17" s="321" t="n">
        <v>0.03</v>
      </c>
      <c r="H17" s="322" t="n">
        <f aca="false">$D$8</f>
        <v>46661</v>
      </c>
      <c r="I17" s="323" t="n">
        <f aca="false">IF(OR($D17="",$E17="",NOT(ISNUMBER($D17))),"",IF(AND($E17&lt;=I$10,IF($F17="",$X$10,$F17)&gt;=I$10),$D17/12*(1+N($G17))^IF(AND(ISNUMBER($H17),I$10&gt;=$H17),1+INT(DATEDIF($H17,I$10,"m")/12),0),0))</f>
        <v>13333.3333333333</v>
      </c>
      <c r="J17" s="323" t="n">
        <f aca="false">IF(OR($D17="",$E17="",NOT(ISNUMBER($D17))),"",IF(AND($E17&lt;=J$10,IF($F17="",$X$10,$F17)&gt;=J$10),$D17/12*(1+N($G17))^IF(AND(ISNUMBER($H17),J$10&gt;=$H17),1+INT(DATEDIF($H17,J$10,"m")/12),0),0))</f>
        <v>13333.3333333333</v>
      </c>
      <c r="K17" s="323" t="n">
        <f aca="false">IF(OR($D17="",$E17="",NOT(ISNUMBER($D17))),"",IF(AND($E17&lt;=K$10,IF($F17="",$X$10,$F17)&gt;=K$10),$D17/12*(1+N($G17))^IF(AND(ISNUMBER($H17),K$10&gt;=$H17),1+INT(DATEDIF($H17,K$10,"m")/12),0),0))</f>
        <v>13333.3333333333</v>
      </c>
      <c r="L17" s="323" t="n">
        <f aca="false">IF(OR($D17="",$E17="",NOT(ISNUMBER($D17))),"",IF(AND($E17&lt;=L$10,IF($F17="",$X$10,$F17)&gt;=L$10),$D17/12*(1+N($G17))^IF(AND(ISNUMBER($H17),L$10&gt;=$H17),1+INT(DATEDIF($H17,L$10,"m")/12),0),0))</f>
        <v>13333.3333333333</v>
      </c>
      <c r="M17" s="323" t="n">
        <f aca="false">IF(OR($D17="",$E17="",NOT(ISNUMBER($D17))),"",IF(AND($E17&lt;=M$10,IF($F17="",$X$10,$F17)&gt;=M$10),$D17/12*(1+N($G17))^IF(AND(ISNUMBER($H17),M$10&gt;=$H17),1+INT(DATEDIF($H17,M$10,"m")/12),0),0))</f>
        <v>13333.3333333333</v>
      </c>
      <c r="N17" s="323" t="n">
        <f aca="false">IF(OR($D17="",$E17="",NOT(ISNUMBER($D17))),"",IF(AND($E17&lt;=N$10,IF($F17="",$X$10,$F17)&gt;=N$10),$D17/12*(1+N($G17))^IF(AND(ISNUMBER($H17),N$10&gt;=$H17),1+INT(DATEDIF($H17,N$10,"m")/12),0),0))</f>
        <v>13333.3333333333</v>
      </c>
      <c r="O17" s="323" t="n">
        <f aca="false">IF(OR($D17="",$E17="",NOT(ISNUMBER($D17))),"",IF(AND($E17&lt;=O$10,IF($F17="",$X$10,$F17)&gt;=O$10),$D17/12*(1+N($G17))^IF(AND(ISNUMBER($H17),O$10&gt;=$H17),1+INT(DATEDIF($H17,O$10,"m")/12),0),0))</f>
        <v>13333.3333333333</v>
      </c>
      <c r="P17" s="323" t="n">
        <f aca="false">IF(OR($D17="",$E17="",NOT(ISNUMBER($D17))),"",IF(AND($E17&lt;=P$10,IF($F17="",$X$10,$F17)&gt;=P$10),$D17/12*(1+N($G17))^IF(AND(ISNUMBER($H17),P$10&gt;=$H17),1+INT(DATEDIF($H17,P$10,"m")/12),0),0))</f>
        <v>13333.3333333333</v>
      </c>
      <c r="Q17" s="323" t="n">
        <f aca="false">IF(OR($D17="",$E17="",NOT(ISNUMBER($D17))),"",IF(AND($E17&lt;=Q$10,IF($F17="",$X$10,$F17)&gt;=Q$10),$D17/12*(1+N($G17))^IF(AND(ISNUMBER($H17),Q$10&gt;=$H17),1+INT(DATEDIF($H17,Q$10,"m")/12),0),0))</f>
        <v>13333.3333333333</v>
      </c>
      <c r="R17" s="323" t="n">
        <f aca="false">IF(OR($D17="",$E17="",NOT(ISNUMBER($D17))),"",IF(AND($E17&lt;=R$10,IF($F17="",$X$10,$F17)&gt;=R$10),$D17/12*(1+N($G17))^IF(AND(ISNUMBER($H17),R$10&gt;=$H17),1+INT(DATEDIF($H17,R$10,"m")/12),0),0))</f>
        <v>13333.3333333333</v>
      </c>
      <c r="S17" s="323" t="n">
        <f aca="false">IF(OR($D17="",$E17="",NOT(ISNUMBER($D17))),"",IF(AND($E17&lt;=S$10,IF($F17="",$X$10,$F17)&gt;=S$10),$D17/12*(1+N($G17))^IF(AND(ISNUMBER($H17),S$10&gt;=$H17),1+INT(DATEDIF($H17,S$10,"m")/12),0),0))</f>
        <v>13333.3333333333</v>
      </c>
      <c r="T17" s="323" t="n">
        <f aca="false">IF(OR($D17="",$E17="",NOT(ISNUMBER($D17))),"",IF(AND($E17&lt;=T$10,IF($F17="",$X$10,$F17)&gt;=T$10),$D17/12*(1+N($G17))^IF(AND(ISNUMBER($H17),T$10&gt;=$H17),1+INT(DATEDIF($H17,T$10,"m")/12),0),0))</f>
        <v>13333.3333333333</v>
      </c>
      <c r="U17" s="323" t="n">
        <f aca="false">IF(OR($D17="",$E17="",NOT(ISNUMBER($D17))),"",IF(AND($E17&lt;=U$10,IF($F17="",$X$10,$F17)&gt;=U$10),$D17/12*(1+N($G17))^IF(AND(ISNUMBER($H17),U$10&gt;=$H17),1+INT(DATEDIF($H17,U$10,"m")/12),0),0))</f>
        <v>13333.3333333333</v>
      </c>
      <c r="V17" s="323" t="n">
        <f aca="false">IF(OR($D17="",$E17="",NOT(ISNUMBER($D17))),"",IF(AND($E17&lt;=V$10,IF($F17="",$X$10,$F17)&gt;=V$10),$D17/12*(1+N($G17))^IF(AND(ISNUMBER($H17),V$10&gt;=$H17),1+INT(DATEDIF($H17,V$10,"m")/12),0),0))</f>
        <v>13733.3333333333</v>
      </c>
      <c r="W17" s="323" t="n">
        <f aca="false">IF(OR($D17="",$E17="",NOT(ISNUMBER($D17))),"",IF(AND($E17&lt;=W$10,IF($F17="",$X$10,$F17)&gt;=W$10),$D17/12*(1+N($G17))^IF(AND(ISNUMBER($H17),W$10&gt;=$H17),1+INT(DATEDIF($H17,W$10,"m")/12),0),0))</f>
        <v>13733.3333333333</v>
      </c>
      <c r="X17" s="323" t="n">
        <f aca="false">IF(OR($D17="",$E17="",NOT(ISNUMBER($D17))),"",IF(AND($E17&lt;=X$10,IF($F17="",$X$10,$F17)&gt;=X$10),$D17/12*(1+N($G17))^IF(AND(ISNUMBER($H17),X$10&gt;=$H17),1+INT(DATEDIF($H17,X$10,"m")/12),0),0))</f>
        <v>13733.3333333333</v>
      </c>
      <c r="Y17" s="323"/>
      <c r="Z17" s="323" t="n">
        <f aca="false">SUM(M17:X17)</f>
        <v>161200</v>
      </c>
      <c r="AB17" s="325" t="str">
        <f aca="false">IF($D17&amp;$E17="","",IF(AND($D17&lt;&gt;"",NOT(ISNUMBER($D17))),"Salary must be a number",IF(AND($D17&lt;&gt;"",$E17=""),"Start month missing",IF(AND(ISNUMBER($E17),ISNUMBER($F17),$F17&lt;$E17),"End is before Start",IF(AND($D17&lt;&gt;"",NOT(ISNUMBER($H17))),"Increase month missing","")))))</f>
        <v/>
      </c>
    </row>
    <row r="18" customFormat="false" ht="14.4" hidden="false" customHeight="false" outlineLevel="0" collapsed="false">
      <c r="B18" s="318" t="s">
        <v>3117</v>
      </c>
      <c r="C18" s="318" t="s">
        <v>3118</v>
      </c>
      <c r="D18" s="319" t="n">
        <v>65000</v>
      </c>
      <c r="E18" s="320" t="n">
        <v>46266</v>
      </c>
      <c r="F18" s="320" t="n">
        <v>46722</v>
      </c>
      <c r="G18" s="321" t="n">
        <v>0.03</v>
      </c>
      <c r="H18" s="322" t="n">
        <f aca="false">$D$8</f>
        <v>46661</v>
      </c>
      <c r="I18" s="323" t="n">
        <f aca="false">IF(OR($D18="",$E18="",NOT(ISNUMBER($D18))),"",IF(AND($E18&lt;=I$10,IF($F18="",$X$10,$F18)&gt;=I$10),$D18/12*(1+N($G18))^IF(AND(ISNUMBER($H18),I$10&gt;=$H18),1+INT(DATEDIF($H18,I$10,"m")/12),0),0))</f>
        <v>5416.66666666667</v>
      </c>
      <c r="J18" s="323" t="n">
        <f aca="false">IF(OR($D18="",$E18="",NOT(ISNUMBER($D18))),"",IF(AND($E18&lt;=J$10,IF($F18="",$X$10,$F18)&gt;=J$10),$D18/12*(1+N($G18))^IF(AND(ISNUMBER($H18),J$10&gt;=$H18),1+INT(DATEDIF($H18,J$10,"m")/12),0),0))</f>
        <v>5416.66666666667</v>
      </c>
      <c r="K18" s="323" t="n">
        <f aca="false">IF(OR($D18="",$E18="",NOT(ISNUMBER($D18))),"",IF(AND($E18&lt;=K$10,IF($F18="",$X$10,$F18)&gt;=K$10),$D18/12*(1+N($G18))^IF(AND(ISNUMBER($H18),K$10&gt;=$H18),1+INT(DATEDIF($H18,K$10,"m")/12),0),0))</f>
        <v>5416.66666666667</v>
      </c>
      <c r="L18" s="323" t="n">
        <f aca="false">IF(OR($D18="",$E18="",NOT(ISNUMBER($D18))),"",IF(AND($E18&lt;=L$10,IF($F18="",$X$10,$F18)&gt;=L$10),$D18/12*(1+N($G18))^IF(AND(ISNUMBER($H18),L$10&gt;=$H18),1+INT(DATEDIF($H18,L$10,"m")/12),0),0))</f>
        <v>5416.66666666667</v>
      </c>
      <c r="M18" s="323" t="n">
        <f aca="false">IF(OR($D18="",$E18="",NOT(ISNUMBER($D18))),"",IF(AND($E18&lt;=M$10,IF($F18="",$X$10,$F18)&gt;=M$10),$D18/12*(1+N($G18))^IF(AND(ISNUMBER($H18),M$10&gt;=$H18),1+INT(DATEDIF($H18,M$10,"m")/12),0),0))</f>
        <v>5416.66666666667</v>
      </c>
      <c r="N18" s="323" t="n">
        <f aca="false">IF(OR($D18="",$E18="",NOT(ISNUMBER($D18))),"",IF(AND($E18&lt;=N$10,IF($F18="",$X$10,$F18)&gt;=N$10),$D18/12*(1+N($G18))^IF(AND(ISNUMBER($H18),N$10&gt;=$H18),1+INT(DATEDIF($H18,N$10,"m")/12),0),0))</f>
        <v>5416.66666666667</v>
      </c>
      <c r="O18" s="323" t="n">
        <f aca="false">IF(OR($D18="",$E18="",NOT(ISNUMBER($D18))),"",IF(AND($E18&lt;=O$10,IF($F18="",$X$10,$F18)&gt;=O$10),$D18/12*(1+N($G18))^IF(AND(ISNUMBER($H18),O$10&gt;=$H18),1+INT(DATEDIF($H18,O$10,"m")/12),0),0))</f>
        <v>5416.66666666667</v>
      </c>
      <c r="P18" s="323" t="n">
        <f aca="false">IF(OR($D18="",$E18="",NOT(ISNUMBER($D18))),"",IF(AND($E18&lt;=P$10,IF($F18="",$X$10,$F18)&gt;=P$10),$D18/12*(1+N($G18))^IF(AND(ISNUMBER($H18),P$10&gt;=$H18),1+INT(DATEDIF($H18,P$10,"m")/12),0),0))</f>
        <v>5416.66666666667</v>
      </c>
      <c r="Q18" s="323" t="n">
        <f aca="false">IF(OR($D18="",$E18="",NOT(ISNUMBER($D18))),"",IF(AND($E18&lt;=Q$10,IF($F18="",$X$10,$F18)&gt;=Q$10),$D18/12*(1+N($G18))^IF(AND(ISNUMBER($H18),Q$10&gt;=$H18),1+INT(DATEDIF($H18,Q$10,"m")/12),0),0))</f>
        <v>5416.66666666667</v>
      </c>
      <c r="R18" s="323" t="n">
        <f aca="false">IF(OR($D18="",$E18="",NOT(ISNUMBER($D18))),"",IF(AND($E18&lt;=R$10,IF($F18="",$X$10,$F18)&gt;=R$10),$D18/12*(1+N($G18))^IF(AND(ISNUMBER($H18),R$10&gt;=$H18),1+INT(DATEDIF($H18,R$10,"m")/12),0),0))</f>
        <v>5416.66666666667</v>
      </c>
      <c r="S18" s="323" t="n">
        <f aca="false">IF(OR($D18="",$E18="",NOT(ISNUMBER($D18))),"",IF(AND($E18&lt;=S$10,IF($F18="",$X$10,$F18)&gt;=S$10),$D18/12*(1+N($G18))^IF(AND(ISNUMBER($H18),S$10&gt;=$H18),1+INT(DATEDIF($H18,S$10,"m")/12),0),0))</f>
        <v>5416.66666666667</v>
      </c>
      <c r="T18" s="323" t="n">
        <f aca="false">IF(OR($D18="",$E18="",NOT(ISNUMBER($D18))),"",IF(AND($E18&lt;=T$10,IF($F18="",$X$10,$F18)&gt;=T$10),$D18/12*(1+N($G18))^IF(AND(ISNUMBER($H18),T$10&gt;=$H18),1+INT(DATEDIF($H18,T$10,"m")/12),0),0))</f>
        <v>5416.66666666667</v>
      </c>
      <c r="U18" s="323" t="n">
        <f aca="false">IF(OR($D18="",$E18="",NOT(ISNUMBER($D18))),"",IF(AND($E18&lt;=U$10,IF($F18="",$X$10,$F18)&gt;=U$10),$D18/12*(1+N($G18))^IF(AND(ISNUMBER($H18),U$10&gt;=$H18),1+INT(DATEDIF($H18,U$10,"m")/12),0),0))</f>
        <v>5416.66666666667</v>
      </c>
      <c r="V18" s="323" t="n">
        <f aca="false">IF(OR($D18="",$E18="",NOT(ISNUMBER($D18))),"",IF(AND($E18&lt;=V$10,IF($F18="",$X$10,$F18)&gt;=V$10),$D18/12*(1+N($G18))^IF(AND(ISNUMBER($H18),V$10&gt;=$H18),1+INT(DATEDIF($H18,V$10,"m")/12),0),0))</f>
        <v>5579.16666666667</v>
      </c>
      <c r="W18" s="323" t="n">
        <f aca="false">IF(OR($D18="",$E18="",NOT(ISNUMBER($D18))),"",IF(AND($E18&lt;=W$10,IF($F18="",$X$10,$F18)&gt;=W$10),$D18/12*(1+N($G18))^IF(AND(ISNUMBER($H18),W$10&gt;=$H18),1+INT(DATEDIF($H18,W$10,"m")/12),0),0))</f>
        <v>5579.16666666667</v>
      </c>
      <c r="X18" s="323" t="n">
        <f aca="false">IF(OR($D18="",$E18="",NOT(ISNUMBER($D18))),"",IF(AND($E18&lt;=X$10,IF($F18="",$X$10,$F18)&gt;=X$10),$D18/12*(1+N($G18))^IF(AND(ISNUMBER($H18),X$10&gt;=$H18),1+INT(DATEDIF($H18,X$10,"m")/12),0),0))</f>
        <v>5579.16666666667</v>
      </c>
      <c r="Y18" s="323"/>
      <c r="Z18" s="323" t="n">
        <f aca="false">SUM(M18:X18)</f>
        <v>65487.5</v>
      </c>
      <c r="AB18" s="325" t="str">
        <f aca="false">IF($D18&amp;$E18="","",IF(AND($D18&lt;&gt;"",NOT(ISNUMBER($D18))),"Salary must be a number",IF(AND($D18&lt;&gt;"",$E18=""),"Start month missing",IF(AND(ISNUMBER($E18),ISNUMBER($F18),$F18&lt;$E18),"End is before Start",IF(AND($D18&lt;&gt;"",NOT(ISNUMBER($H18))),"Increase month missing","")))))</f>
        <v/>
      </c>
    </row>
    <row r="19" customFormat="false" ht="14.4" hidden="false" customHeight="false" outlineLevel="0" collapsed="false">
      <c r="B19" s="318" t="s">
        <v>3119</v>
      </c>
      <c r="C19" s="318" t="s">
        <v>3112</v>
      </c>
      <c r="D19" s="319" t="n">
        <v>70000</v>
      </c>
      <c r="E19" s="320" t="n">
        <v>46266</v>
      </c>
      <c r="F19" s="320" t="n">
        <v>46722</v>
      </c>
      <c r="G19" s="321" t="n">
        <v>0.03</v>
      </c>
      <c r="H19" s="322" t="n">
        <f aca="false">$D$8</f>
        <v>46661</v>
      </c>
      <c r="I19" s="323" t="n">
        <f aca="false">IF(OR($D19="",$E19="",NOT(ISNUMBER($D19))),"",IF(AND($E19&lt;=I$10,IF($F19="",$X$10,$F19)&gt;=I$10),$D19/12*(1+N($G19))^IF(AND(ISNUMBER($H19),I$10&gt;=$H19),1+INT(DATEDIF($H19,I$10,"m")/12),0),0))</f>
        <v>5833.33333333333</v>
      </c>
      <c r="J19" s="323" t="n">
        <f aca="false">IF(OR($D19="",$E19="",NOT(ISNUMBER($D19))),"",IF(AND($E19&lt;=J$10,IF($F19="",$X$10,$F19)&gt;=J$10),$D19/12*(1+N($G19))^IF(AND(ISNUMBER($H19),J$10&gt;=$H19),1+INT(DATEDIF($H19,J$10,"m")/12),0),0))</f>
        <v>5833.33333333333</v>
      </c>
      <c r="K19" s="323" t="n">
        <f aca="false">IF(OR($D19="",$E19="",NOT(ISNUMBER($D19))),"",IF(AND($E19&lt;=K$10,IF($F19="",$X$10,$F19)&gt;=K$10),$D19/12*(1+N($G19))^IF(AND(ISNUMBER($H19),K$10&gt;=$H19),1+INT(DATEDIF($H19,K$10,"m")/12),0),0))</f>
        <v>5833.33333333333</v>
      </c>
      <c r="L19" s="323" t="n">
        <f aca="false">IF(OR($D19="",$E19="",NOT(ISNUMBER($D19))),"",IF(AND($E19&lt;=L$10,IF($F19="",$X$10,$F19)&gt;=L$10),$D19/12*(1+N($G19))^IF(AND(ISNUMBER($H19),L$10&gt;=$H19),1+INT(DATEDIF($H19,L$10,"m")/12),0),0))</f>
        <v>5833.33333333333</v>
      </c>
      <c r="M19" s="323" t="n">
        <f aca="false">IF(OR($D19="",$E19="",NOT(ISNUMBER($D19))),"",IF(AND($E19&lt;=M$10,IF($F19="",$X$10,$F19)&gt;=M$10),$D19/12*(1+N($G19))^IF(AND(ISNUMBER($H19),M$10&gt;=$H19),1+INT(DATEDIF($H19,M$10,"m")/12),0),0))</f>
        <v>5833.33333333333</v>
      </c>
      <c r="N19" s="323" t="n">
        <f aca="false">IF(OR($D19="",$E19="",NOT(ISNUMBER($D19))),"",IF(AND($E19&lt;=N$10,IF($F19="",$X$10,$F19)&gt;=N$10),$D19/12*(1+N($G19))^IF(AND(ISNUMBER($H19),N$10&gt;=$H19),1+INT(DATEDIF($H19,N$10,"m")/12),0),0))</f>
        <v>5833.33333333333</v>
      </c>
      <c r="O19" s="323" t="n">
        <f aca="false">IF(OR($D19="",$E19="",NOT(ISNUMBER($D19))),"",IF(AND($E19&lt;=O$10,IF($F19="",$X$10,$F19)&gt;=O$10),$D19/12*(1+N($G19))^IF(AND(ISNUMBER($H19),O$10&gt;=$H19),1+INT(DATEDIF($H19,O$10,"m")/12),0),0))</f>
        <v>5833.33333333333</v>
      </c>
      <c r="P19" s="323" t="n">
        <f aca="false">IF(OR($D19="",$E19="",NOT(ISNUMBER($D19))),"",IF(AND($E19&lt;=P$10,IF($F19="",$X$10,$F19)&gt;=P$10),$D19/12*(1+N($G19))^IF(AND(ISNUMBER($H19),P$10&gt;=$H19),1+INT(DATEDIF($H19,P$10,"m")/12),0),0))</f>
        <v>5833.33333333333</v>
      </c>
      <c r="Q19" s="323" t="n">
        <f aca="false">IF(OR($D19="",$E19="",NOT(ISNUMBER($D19))),"",IF(AND($E19&lt;=Q$10,IF($F19="",$X$10,$F19)&gt;=Q$10),$D19/12*(1+N($G19))^IF(AND(ISNUMBER($H19),Q$10&gt;=$H19),1+INT(DATEDIF($H19,Q$10,"m")/12),0),0))</f>
        <v>5833.33333333333</v>
      </c>
      <c r="R19" s="323" t="n">
        <f aca="false">IF(OR($D19="",$E19="",NOT(ISNUMBER($D19))),"",IF(AND($E19&lt;=R$10,IF($F19="",$X$10,$F19)&gt;=R$10),$D19/12*(1+N($G19))^IF(AND(ISNUMBER($H19),R$10&gt;=$H19),1+INT(DATEDIF($H19,R$10,"m")/12),0),0))</f>
        <v>5833.33333333333</v>
      </c>
      <c r="S19" s="323" t="n">
        <f aca="false">IF(OR($D19="",$E19="",NOT(ISNUMBER($D19))),"",IF(AND($E19&lt;=S$10,IF($F19="",$X$10,$F19)&gt;=S$10),$D19/12*(1+N($G19))^IF(AND(ISNUMBER($H19),S$10&gt;=$H19),1+INT(DATEDIF($H19,S$10,"m")/12),0),0))</f>
        <v>5833.33333333333</v>
      </c>
      <c r="T19" s="323" t="n">
        <f aca="false">IF(OR($D19="",$E19="",NOT(ISNUMBER($D19))),"",IF(AND($E19&lt;=T$10,IF($F19="",$X$10,$F19)&gt;=T$10),$D19/12*(1+N($G19))^IF(AND(ISNUMBER($H19),T$10&gt;=$H19),1+INT(DATEDIF($H19,T$10,"m")/12),0),0))</f>
        <v>5833.33333333333</v>
      </c>
      <c r="U19" s="323" t="n">
        <f aca="false">IF(OR($D19="",$E19="",NOT(ISNUMBER($D19))),"",IF(AND($E19&lt;=U$10,IF($F19="",$X$10,$F19)&gt;=U$10),$D19/12*(1+N($G19))^IF(AND(ISNUMBER($H19),U$10&gt;=$H19),1+INT(DATEDIF($H19,U$10,"m")/12),0),0))</f>
        <v>5833.33333333333</v>
      </c>
      <c r="V19" s="323" t="n">
        <f aca="false">IF(OR($D19="",$E19="",NOT(ISNUMBER($D19))),"",IF(AND($E19&lt;=V$10,IF($F19="",$X$10,$F19)&gt;=V$10),$D19/12*(1+N($G19))^IF(AND(ISNUMBER($H19),V$10&gt;=$H19),1+INT(DATEDIF($H19,V$10,"m")/12),0),0))</f>
        <v>6008.33333333333</v>
      </c>
      <c r="W19" s="323" t="n">
        <f aca="false">IF(OR($D19="",$E19="",NOT(ISNUMBER($D19))),"",IF(AND($E19&lt;=W$10,IF($F19="",$X$10,$F19)&gt;=W$10),$D19/12*(1+N($G19))^IF(AND(ISNUMBER($H19),W$10&gt;=$H19),1+INT(DATEDIF($H19,W$10,"m")/12),0),0))</f>
        <v>6008.33333333333</v>
      </c>
      <c r="X19" s="323" t="n">
        <f aca="false">IF(OR($D19="",$E19="",NOT(ISNUMBER($D19))),"",IF(AND($E19&lt;=X$10,IF($F19="",$X$10,$F19)&gt;=X$10),$D19/12*(1+N($G19))^IF(AND(ISNUMBER($H19),X$10&gt;=$H19),1+INT(DATEDIF($H19,X$10,"m")/12),0),0))</f>
        <v>6008.33333333333</v>
      </c>
      <c r="Y19" s="323"/>
      <c r="Z19" s="323" t="n">
        <f aca="false">SUM(M19:X19)</f>
        <v>70525</v>
      </c>
      <c r="AB19" s="325" t="str">
        <f aca="false">IF($D19&amp;$E19="","",IF(AND($D19&lt;&gt;"",NOT(ISNUMBER($D19))),"Salary must be a number",IF(AND($D19&lt;&gt;"",$E19=""),"Start month missing",IF(AND(ISNUMBER($E19),ISNUMBER($F19),$F19&lt;$E19),"End is before Start",IF(AND($D19&lt;&gt;"",NOT(ISNUMBER($H19))),"Increase month missing","")))))</f>
        <v/>
      </c>
    </row>
    <row r="20" customFormat="false" ht="14.4" hidden="false" customHeight="false" outlineLevel="0" collapsed="false">
      <c r="B20" s="318"/>
      <c r="C20" s="318"/>
      <c r="D20" s="319"/>
      <c r="E20" s="320" t="n">
        <v>46266</v>
      </c>
      <c r="F20" s="320" t="n">
        <v>46722</v>
      </c>
      <c r="G20" s="321" t="n">
        <v>0.03</v>
      </c>
      <c r="H20" s="322" t="n">
        <f aca="false">$D$8</f>
        <v>46661</v>
      </c>
      <c r="I20" s="323" t="str">
        <f aca="false">IF(OR($D20="",$E20="",NOT(ISNUMBER($D20))),"",IF(AND($E20&lt;=I$10,IF($F20="",$X$10,$F20)&gt;=I$10),$D20/12*(1+N($G20))^IF(AND(ISNUMBER($H20),I$10&gt;=$H20),1+INT(DATEDIF($H20,I$10,"m")/12),0),0))</f>
        <v/>
      </c>
      <c r="J20" s="323" t="str">
        <f aca="false">IF(OR($D20="",$E20="",NOT(ISNUMBER($D20))),"",IF(AND($E20&lt;=J$10,IF($F20="",$X$10,$F20)&gt;=J$10),$D20/12*(1+N($G20))^IF(AND(ISNUMBER($H20),J$10&gt;=$H20),1+INT(DATEDIF($H20,J$10,"m")/12),0),0))</f>
        <v/>
      </c>
      <c r="K20" s="323" t="str">
        <f aca="false">IF(OR($D20="",$E20="",NOT(ISNUMBER($D20))),"",IF(AND($E20&lt;=K$10,IF($F20="",$X$10,$F20)&gt;=K$10),$D20/12*(1+N($G20))^IF(AND(ISNUMBER($H20),K$10&gt;=$H20),1+INT(DATEDIF($H20,K$10,"m")/12),0),0))</f>
        <v/>
      </c>
      <c r="L20" s="323" t="str">
        <f aca="false">IF(OR($D20="",$E20="",NOT(ISNUMBER($D20))),"",IF(AND($E20&lt;=L$10,IF($F20="",$X$10,$F20)&gt;=L$10),$D20/12*(1+N($G20))^IF(AND(ISNUMBER($H20),L$10&gt;=$H20),1+INT(DATEDIF($H20,L$10,"m")/12),0),0))</f>
        <v/>
      </c>
      <c r="M20" s="323" t="str">
        <f aca="false">IF(OR($D20="",$E20="",NOT(ISNUMBER($D20))),"",IF(AND($E20&lt;=M$10,IF($F20="",$X$10,$F20)&gt;=M$10),$D20/12*(1+N($G20))^IF(AND(ISNUMBER($H20),M$10&gt;=$H20),1+INT(DATEDIF($H20,M$10,"m")/12),0),0))</f>
        <v/>
      </c>
      <c r="N20" s="323" t="str">
        <f aca="false">IF(OR($D20="",$E20="",NOT(ISNUMBER($D20))),"",IF(AND($E20&lt;=N$10,IF($F20="",$X$10,$F20)&gt;=N$10),$D20/12*(1+N($G20))^IF(AND(ISNUMBER($H20),N$10&gt;=$H20),1+INT(DATEDIF($H20,N$10,"m")/12),0),0))</f>
        <v/>
      </c>
      <c r="O20" s="323" t="str">
        <f aca="false">IF(OR($D20="",$E20="",NOT(ISNUMBER($D20))),"",IF(AND($E20&lt;=O$10,IF($F20="",$X$10,$F20)&gt;=O$10),$D20/12*(1+N($G20))^IF(AND(ISNUMBER($H20),O$10&gt;=$H20),1+INT(DATEDIF($H20,O$10,"m")/12),0),0))</f>
        <v/>
      </c>
      <c r="P20" s="323" t="str">
        <f aca="false">IF(OR($D20="",$E20="",NOT(ISNUMBER($D20))),"",IF(AND($E20&lt;=P$10,IF($F20="",$X$10,$F20)&gt;=P$10),$D20/12*(1+N($G20))^IF(AND(ISNUMBER($H20),P$10&gt;=$H20),1+INT(DATEDIF($H20,P$10,"m")/12),0),0))</f>
        <v/>
      </c>
      <c r="Q20" s="323" t="str">
        <f aca="false">IF(OR($D20="",$E20="",NOT(ISNUMBER($D20))),"",IF(AND($E20&lt;=Q$10,IF($F20="",$X$10,$F20)&gt;=Q$10),$D20/12*(1+N($G20))^IF(AND(ISNUMBER($H20),Q$10&gt;=$H20),1+INT(DATEDIF($H20,Q$10,"m")/12),0),0))</f>
        <v/>
      </c>
      <c r="R20" s="323" t="str">
        <f aca="false">IF(OR($D20="",$E20="",NOT(ISNUMBER($D20))),"",IF(AND($E20&lt;=R$10,IF($F20="",$X$10,$F20)&gt;=R$10),$D20/12*(1+N($G20))^IF(AND(ISNUMBER($H20),R$10&gt;=$H20),1+INT(DATEDIF($H20,R$10,"m")/12),0),0))</f>
        <v/>
      </c>
      <c r="S20" s="323" t="str">
        <f aca="false">IF(OR($D20="",$E20="",NOT(ISNUMBER($D20))),"",IF(AND($E20&lt;=S$10,IF($F20="",$X$10,$F20)&gt;=S$10),$D20/12*(1+N($G20))^IF(AND(ISNUMBER($H20),S$10&gt;=$H20),1+INT(DATEDIF($H20,S$10,"m")/12),0),0))</f>
        <v/>
      </c>
      <c r="T20" s="323" t="str">
        <f aca="false">IF(OR($D20="",$E20="",NOT(ISNUMBER($D20))),"",IF(AND($E20&lt;=T$10,IF($F20="",$X$10,$F20)&gt;=T$10),$D20/12*(1+N($G20))^IF(AND(ISNUMBER($H20),T$10&gt;=$H20),1+INT(DATEDIF($H20,T$10,"m")/12),0),0))</f>
        <v/>
      </c>
      <c r="U20" s="323" t="str">
        <f aca="false">IF(OR($D20="",$E20="",NOT(ISNUMBER($D20))),"",IF(AND($E20&lt;=U$10,IF($F20="",$X$10,$F20)&gt;=U$10),$D20/12*(1+N($G20))^IF(AND(ISNUMBER($H20),U$10&gt;=$H20),1+INT(DATEDIF($H20,U$10,"m")/12),0),0))</f>
        <v/>
      </c>
      <c r="V20" s="323" t="str">
        <f aca="false">IF(OR($D20="",$E20="",NOT(ISNUMBER($D20))),"",IF(AND($E20&lt;=V$10,IF($F20="",$X$10,$F20)&gt;=V$10),$D20/12*(1+N($G20))^IF(AND(ISNUMBER($H20),V$10&gt;=$H20),1+INT(DATEDIF($H20,V$10,"m")/12),0),0))</f>
        <v/>
      </c>
      <c r="W20" s="323" t="str">
        <f aca="false">IF(OR($D20="",$E20="",NOT(ISNUMBER($D20))),"",IF(AND($E20&lt;=W$10,IF($F20="",$X$10,$F20)&gt;=W$10),$D20/12*(1+N($G20))^IF(AND(ISNUMBER($H20),W$10&gt;=$H20),1+INT(DATEDIF($H20,W$10,"m")/12),0),0))</f>
        <v/>
      </c>
      <c r="X20" s="323" t="str">
        <f aca="false">IF(OR($D20="",$E20="",NOT(ISNUMBER($D20))),"",IF(AND($E20&lt;=X$10,IF($F20="",$X$10,$F20)&gt;=X$10),$D20/12*(1+N($G20))^IF(AND(ISNUMBER($H20),X$10&gt;=$H20),1+INT(DATEDIF($H20,X$10,"m")/12),0),0))</f>
        <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4" hidden="false" customHeight="fals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4" hidden="false" customHeight="fals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4" hidden="false" customHeight="fals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4" hidden="false" customHeight="fals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4" hidden="false" customHeight="fals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4" hidden="false" customHeight="fals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4" hidden="false" customHeight="fals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4" hidden="false" customHeight="fals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4" hidden="false" customHeight="fals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4" hidden="false" customHeight="fals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4" hidden="false" customHeight="fals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4" hidden="false" customHeight="fals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4" hidden="false" customHeight="fals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4" hidden="false" customHeight="false" outlineLevel="0" collapsed="false">
      <c r="B34" s="317" t="s">
        <v>3067</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4" hidden="false" customHeight="false" outlineLevel="0" collapsed="false">
      <c r="B35" s="318" t="s">
        <v>3120</v>
      </c>
      <c r="C35" s="318" t="s">
        <v>3121</v>
      </c>
      <c r="D35" s="319" t="n">
        <v>140000</v>
      </c>
      <c r="E35" s="320" t="n">
        <v>46357</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0</v>
      </c>
      <c r="L35" s="323" t="n">
        <f aca="false">IF(OR($D35="",$E35="",NOT(ISNUMBER($D35))),"",IF(AND($E35&lt;=L$10,IF($F35="",$X$10,$F35)&gt;=L$10),$D35/12*(1+N($G35))^IF(AND(ISNUMBER($H35),L$10&gt;=$H35),1+INT(DATEDIF($H35,L$10,"m")/12),0),0))</f>
        <v>11666.6666666667</v>
      </c>
      <c r="M35" s="323" t="n">
        <f aca="false">IF(OR($D35="",$E35="",NOT(ISNUMBER($D35))),"",IF(AND($E35&lt;=M$10,IF($F35="",$X$10,$F35)&gt;=M$10),$D35/12*(1+N($G35))^IF(AND(ISNUMBER($H35),M$10&gt;=$H35),1+INT(DATEDIF($H35,M$10,"m")/12),0),0))</f>
        <v>11666.6666666667</v>
      </c>
      <c r="N35" s="323" t="n">
        <f aca="false">IF(OR($D35="",$E35="",NOT(ISNUMBER($D35))),"",IF(AND($E35&lt;=N$10,IF($F35="",$X$10,$F35)&gt;=N$10),$D35/12*(1+N($G35))^IF(AND(ISNUMBER($H35),N$10&gt;=$H35),1+INT(DATEDIF($H35,N$10,"m")/12),0),0))</f>
        <v>11666.6666666667</v>
      </c>
      <c r="O35" s="323" t="n">
        <f aca="false">IF(OR($D35="",$E35="",NOT(ISNUMBER($D35))),"",IF(AND($E35&lt;=O$10,IF($F35="",$X$10,$F35)&gt;=O$10),$D35/12*(1+N($G35))^IF(AND(ISNUMBER($H35),O$10&gt;=$H35),1+INT(DATEDIF($H35,O$10,"m")/12),0),0))</f>
        <v>11666.6666666667</v>
      </c>
      <c r="P35" s="323" t="n">
        <f aca="false">IF(OR($D35="",$E35="",NOT(ISNUMBER($D35))),"",IF(AND($E35&lt;=P$10,IF($F35="",$X$10,$F35)&gt;=P$10),$D35/12*(1+N($G35))^IF(AND(ISNUMBER($H35),P$10&gt;=$H35),1+INT(DATEDIF($H35,P$10,"m")/12),0),0))</f>
        <v>11666.6666666667</v>
      </c>
      <c r="Q35" s="323" t="n">
        <f aca="false">IF(OR($D35="",$E35="",NOT(ISNUMBER($D35))),"",IF(AND($E35&lt;=Q$10,IF($F35="",$X$10,$F35)&gt;=Q$10),$D35/12*(1+N($G35))^IF(AND(ISNUMBER($H35),Q$10&gt;=$H35),1+INT(DATEDIF($H35,Q$10,"m")/12),0),0))</f>
        <v>11666.6666666667</v>
      </c>
      <c r="R35" s="323" t="n">
        <f aca="false">IF(OR($D35="",$E35="",NOT(ISNUMBER($D35))),"",IF(AND($E35&lt;=R$10,IF($F35="",$X$10,$F35)&gt;=R$10),$D35/12*(1+N($G35))^IF(AND(ISNUMBER($H35),R$10&gt;=$H35),1+INT(DATEDIF($H35,R$10,"m")/12),0),0))</f>
        <v>11666.6666666667</v>
      </c>
      <c r="S35" s="323" t="n">
        <f aca="false">IF(OR($D35="",$E35="",NOT(ISNUMBER($D35))),"",IF(AND($E35&lt;=S$10,IF($F35="",$X$10,$F35)&gt;=S$10),$D35/12*(1+N($G35))^IF(AND(ISNUMBER($H35),S$10&gt;=$H35),1+INT(DATEDIF($H35,S$10,"m")/12),0),0))</f>
        <v>11666.6666666667</v>
      </c>
      <c r="T35" s="323" t="n">
        <f aca="false">IF(OR($D35="",$E35="",NOT(ISNUMBER($D35))),"",IF(AND($E35&lt;=T$10,IF($F35="",$X$10,$F35)&gt;=T$10),$D35/12*(1+N($G35))^IF(AND(ISNUMBER($H35),T$10&gt;=$H35),1+INT(DATEDIF($H35,T$10,"m")/12),0),0))</f>
        <v>11666.6666666667</v>
      </c>
      <c r="U35" s="323" t="n">
        <f aca="false">IF(OR($D35="",$E35="",NOT(ISNUMBER($D35))),"",IF(AND($E35&lt;=U$10,IF($F35="",$X$10,$F35)&gt;=U$10),$D35/12*(1+N($G35))^IF(AND(ISNUMBER($H35),U$10&gt;=$H35),1+INT(DATEDIF($H35,U$10,"m")/12),0),0))</f>
        <v>11666.6666666667</v>
      </c>
      <c r="V35" s="323" t="n">
        <f aca="false">IF(OR($D35="",$E35="",NOT(ISNUMBER($D35))),"",IF(AND($E35&lt;=V$10,IF($F35="",$X$10,$F35)&gt;=V$10),$D35/12*(1+N($G35))^IF(AND(ISNUMBER($H35),V$10&gt;=$H35),1+INT(DATEDIF($H35,V$10,"m")/12),0),0))</f>
        <v>12016.6666666667</v>
      </c>
      <c r="W35" s="323" t="n">
        <f aca="false">IF(OR($D35="",$E35="",NOT(ISNUMBER($D35))),"",IF(AND($E35&lt;=W$10,IF($F35="",$X$10,$F35)&gt;=W$10),$D35/12*(1+N($G35))^IF(AND(ISNUMBER($H35),W$10&gt;=$H35),1+INT(DATEDIF($H35,W$10,"m")/12),0),0))</f>
        <v>12016.6666666667</v>
      </c>
      <c r="X35" s="323" t="n">
        <f aca="false">IF(OR($D35="",$E35="",NOT(ISNUMBER($D35))),"",IF(AND($E35&lt;=X$10,IF($F35="",$X$10,$F35)&gt;=X$10),$D35/12*(1+N($G35))^IF(AND(ISNUMBER($H35),X$10&gt;=$H35),1+INT(DATEDIF($H35,X$10,"m")/12),0),0))</f>
        <v>12016.6666666667</v>
      </c>
      <c r="Y35" s="323"/>
      <c r="Z35" s="323" t="n">
        <f aca="false">SUM(M35:X35)</f>
        <v>141050</v>
      </c>
      <c r="AB35" s="325" t="str">
        <f aca="false">IF($D35&amp;$E35="","",IF(AND($D35&lt;&gt;"",NOT(ISNUMBER($D35))),"Salary must be a number",IF(AND($D35&lt;&gt;"",$E35=""),"Start month missing",IF(AND(ISNUMBER($E35),ISNUMBER($F35),$F35&lt;$E35),"End is before Start",IF(AND($D35&lt;&gt;"",NOT(ISNUMBER($H35))),"Increase month missing","")))))</f>
        <v/>
      </c>
    </row>
    <row r="36" customFormat="false" ht="14.4" hidden="false" customHeight="fals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4" hidden="false" customHeight="fals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4" hidden="false" customHeight="fals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4" hidden="false" customHeight="fals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4" hidden="false" customHeight="false" outlineLevel="0" collapsed="false">
      <c r="B40" s="317" t="s">
        <v>3068</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4" hidden="false" customHeight="false" outlineLevel="0" collapsed="false">
      <c r="B41" s="318"/>
      <c r="C41" s="318" t="s">
        <v>3122</v>
      </c>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4" hidden="false" customHeight="fals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4" hidden="false" customHeight="fals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4" hidden="false" customHeight="fals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4" hidden="false" customHeight="fals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4" hidden="false" customHeight="fals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4" hidden="false" customHeight="fals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4" hidden="false" customHeight="fals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4" hidden="false" customHeight="fals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4" hidden="false" customHeight="fals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4" hidden="false" customHeight="false" outlineLevel="0" collapsed="false">
      <c r="A51" s="328" t="s">
        <v>3069</v>
      </c>
      <c r="B51" s="317" t="s">
        <v>3070</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4" hidden="false" customHeight="fals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4" hidden="false" customHeight="fals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4" hidden="false" customHeight="fals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4" hidden="false" customHeight="fals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4" hidden="false" customHeight="fals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4" hidden="false" customHeight="fals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4" hidden="false" customHeight="false" outlineLevel="0" collapsed="false">
      <c r="A58" s="328" t="s">
        <v>3071</v>
      </c>
      <c r="B58" s="317" t="s">
        <v>3072</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4" hidden="false" customHeight="fals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4" hidden="false" customHeight="fals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4" hidden="false" customHeight="fals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4" hidden="false" customHeight="fals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4" hidden="false" customHeight="fals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4" hidden="false" customHeight="fals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4" hidden="false" customHeight="fals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4" hidden="false" customHeight="fals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4" hidden="false" customHeight="false" outlineLevel="0" collapsed="false">
      <c r="B67" s="342" t="s">
        <v>3073</v>
      </c>
      <c r="C67" s="342"/>
      <c r="D67" s="343"/>
      <c r="E67" s="344"/>
      <c r="F67" s="344"/>
      <c r="G67" s="344"/>
      <c r="H67" s="344"/>
      <c r="I67" s="345" t="n">
        <f aca="false">SUM(I14:I57)</f>
        <v>55889.25</v>
      </c>
      <c r="J67" s="345" t="n">
        <f aca="false">SUM(J14:J57)</f>
        <v>55889.25</v>
      </c>
      <c r="K67" s="345" t="n">
        <f aca="false">SUM(K14:K57)</f>
        <v>55889.25</v>
      </c>
      <c r="L67" s="345" t="n">
        <f aca="false">SUM(L14:L57)</f>
        <v>67555.9166666667</v>
      </c>
      <c r="M67" s="345" t="n">
        <f aca="false">SUM(M14:M57)</f>
        <v>67555.9166666667</v>
      </c>
      <c r="N67" s="345" t="n">
        <f aca="false">SUM(N14:N57)</f>
        <v>67555.9166666667</v>
      </c>
      <c r="O67" s="345" t="n">
        <f aca="false">SUM(O14:O57)</f>
        <v>67555.9166666667</v>
      </c>
      <c r="P67" s="345" t="n">
        <f aca="false">SUM(P14:P57)</f>
        <v>67555.9166666667</v>
      </c>
      <c r="Q67" s="345" t="n">
        <f aca="false">SUM(Q14:Q57)</f>
        <v>67555.9166666667</v>
      </c>
      <c r="R67" s="345" t="n">
        <f aca="false">SUM(R14:R57)</f>
        <v>67555.9166666667</v>
      </c>
      <c r="S67" s="345" t="n">
        <f aca="false">SUM(S14:S57)</f>
        <v>67555.9166666667</v>
      </c>
      <c r="T67" s="345" t="n">
        <f aca="false">SUM(T14:T57)</f>
        <v>67555.9166666667</v>
      </c>
      <c r="U67" s="345" t="n">
        <f aca="false">SUM(U14:U57)</f>
        <v>67555.9166666667</v>
      </c>
      <c r="V67" s="345" t="n">
        <f aca="false">SUM(V14:V57)</f>
        <v>69582.5941666667</v>
      </c>
      <c r="W67" s="345" t="n">
        <f aca="false">SUM(W14:W57)</f>
        <v>69582.5941666667</v>
      </c>
      <c r="X67" s="345" t="n">
        <f aca="false">SUM(X14:X57)</f>
        <v>69582.5941666667</v>
      </c>
      <c r="Y67" s="346"/>
      <c r="Z67" s="345" t="n">
        <f aca="false">SUM(M67:X67)</f>
        <v>816751.0325</v>
      </c>
    </row>
    <row r="68" customFormat="false" ht="14.4" hidden="false" customHeight="false" outlineLevel="0" collapsed="false">
      <c r="B68" s="342" t="s">
        <v>2288</v>
      </c>
      <c r="C68" s="342"/>
      <c r="D68" s="343"/>
      <c r="E68" s="344"/>
      <c r="F68" s="344"/>
      <c r="G68" s="344"/>
      <c r="H68" s="344"/>
      <c r="I68" s="345" t="n">
        <f aca="false">I67*$D$6</f>
        <v>2274.24922637826</v>
      </c>
      <c r="J68" s="345" t="n">
        <f aca="false">J67*$D$6</f>
        <v>2274.24922637826</v>
      </c>
      <c r="K68" s="345" t="n">
        <f aca="false">K67*$D$6</f>
        <v>2274.24922637826</v>
      </c>
      <c r="L68" s="345" t="n">
        <f aca="false">L67*$D$6</f>
        <v>2748.99003326115</v>
      </c>
      <c r="M68" s="345" t="n">
        <f aca="false">M67*$D$6</f>
        <v>2748.99003326115</v>
      </c>
      <c r="N68" s="345" t="n">
        <f aca="false">N67*$D$6</f>
        <v>2748.99003326115</v>
      </c>
      <c r="O68" s="345" t="n">
        <f aca="false">O67*$D$6</f>
        <v>2748.99003326115</v>
      </c>
      <c r="P68" s="345" t="n">
        <f aca="false">P67*$D$6</f>
        <v>2748.99003326115</v>
      </c>
      <c r="Q68" s="345" t="n">
        <f aca="false">Q67*$D$6</f>
        <v>2748.99003326115</v>
      </c>
      <c r="R68" s="345" t="n">
        <f aca="false">R67*$D$6</f>
        <v>2748.99003326115</v>
      </c>
      <c r="S68" s="345" t="n">
        <f aca="false">S67*$D$6</f>
        <v>2748.99003326115</v>
      </c>
      <c r="T68" s="345" t="n">
        <f aca="false">T67*$D$6</f>
        <v>2748.99003326115</v>
      </c>
      <c r="U68" s="345" t="n">
        <f aca="false">U67*$D$6</f>
        <v>2748.99003326115</v>
      </c>
      <c r="V68" s="345" t="n">
        <f aca="false">V67*$D$6</f>
        <v>2831.45973425898</v>
      </c>
      <c r="W68" s="345" t="n">
        <f aca="false">W67*$D$6</f>
        <v>2831.45973425898</v>
      </c>
      <c r="X68" s="345" t="n">
        <f aca="false">X67*$D$6</f>
        <v>2831.45973425898</v>
      </c>
      <c r="Y68" s="346"/>
      <c r="Z68" s="345" t="n">
        <f aca="false">SUM(M68:X68)</f>
        <v>33235.2895021273</v>
      </c>
    </row>
    <row r="69" customFormat="false" ht="14.4" hidden="false" customHeight="false" outlineLevel="0" collapsed="false">
      <c r="B69" s="342" t="s">
        <v>2289</v>
      </c>
      <c r="C69" s="342"/>
      <c r="D69" s="343"/>
      <c r="E69" s="344"/>
      <c r="F69" s="344"/>
      <c r="G69" s="344"/>
      <c r="H69" s="344"/>
      <c r="I69" s="345" t="n">
        <f aca="false">I67*$D$7</f>
        <v>4036.82941001739</v>
      </c>
      <c r="J69" s="345" t="n">
        <f aca="false">J67*$D$7</f>
        <v>4036.82941001739</v>
      </c>
      <c r="K69" s="345" t="n">
        <f aca="false">K67*$D$7</f>
        <v>4036.82941001739</v>
      </c>
      <c r="L69" s="345" t="n">
        <f aca="false">L67*$D$7</f>
        <v>4879.5020727722</v>
      </c>
      <c r="M69" s="345" t="n">
        <f aca="false">M67*$D$7</f>
        <v>4879.5020727722</v>
      </c>
      <c r="N69" s="345" t="n">
        <f aca="false">N67*$D$7</f>
        <v>4879.5020727722</v>
      </c>
      <c r="O69" s="345" t="n">
        <f aca="false">O67*$D$7</f>
        <v>4879.5020727722</v>
      </c>
      <c r="P69" s="345" t="n">
        <f aca="false">P67*$D$7</f>
        <v>4879.5020727722</v>
      </c>
      <c r="Q69" s="345" t="n">
        <f aca="false">Q67*$D$7</f>
        <v>4879.5020727722</v>
      </c>
      <c r="R69" s="345" t="n">
        <f aca="false">R67*$D$7</f>
        <v>4879.5020727722</v>
      </c>
      <c r="S69" s="345" t="n">
        <f aca="false">S67*$D$7</f>
        <v>4879.5020727722</v>
      </c>
      <c r="T69" s="345" t="n">
        <f aca="false">T67*$D$7</f>
        <v>4879.5020727722</v>
      </c>
      <c r="U69" s="345" t="n">
        <f aca="false">U67*$D$7</f>
        <v>4879.5020727722</v>
      </c>
      <c r="V69" s="345" t="n">
        <f aca="false">V67*$D$7</f>
        <v>5025.88713495537</v>
      </c>
      <c r="W69" s="345" t="n">
        <f aca="false">W67*$D$7</f>
        <v>5025.88713495537</v>
      </c>
      <c r="X69" s="345" t="n">
        <f aca="false">X67*$D$7</f>
        <v>5025.88713495537</v>
      </c>
      <c r="Y69" s="346"/>
      <c r="Z69" s="345" t="n">
        <f aca="false">SUM(M69:X69)</f>
        <v>58993.1800598159</v>
      </c>
    </row>
    <row r="70" customFormat="false" ht="14.4" hidden="false" customHeight="false" outlineLevel="0" collapsed="false">
      <c r="B70" s="347" t="s">
        <v>3074</v>
      </c>
      <c r="C70" s="347"/>
      <c r="D70" s="348"/>
      <c r="E70" s="349"/>
      <c r="F70" s="349"/>
      <c r="G70" s="349"/>
      <c r="H70" s="349"/>
      <c r="I70" s="350" t="n">
        <f aca="false">SUM(I67:I69)</f>
        <v>62200.3286363956</v>
      </c>
      <c r="J70" s="350" t="n">
        <f aca="false">SUM(J67:J69)</f>
        <v>62200.3286363956</v>
      </c>
      <c r="K70" s="350" t="n">
        <f aca="false">SUM(K67:K69)</f>
        <v>62200.3286363956</v>
      </c>
      <c r="L70" s="350" t="n">
        <f aca="false">SUM(L67:L69)</f>
        <v>75184.4087727</v>
      </c>
      <c r="M70" s="350" t="n">
        <f aca="false">SUM(M67:M69)</f>
        <v>75184.4087727</v>
      </c>
      <c r="N70" s="350" t="n">
        <f aca="false">SUM(N67:N69)</f>
        <v>75184.4087727</v>
      </c>
      <c r="O70" s="350" t="n">
        <f aca="false">SUM(O67:O69)</f>
        <v>75184.4087727</v>
      </c>
      <c r="P70" s="350" t="n">
        <f aca="false">SUM(P67:P69)</f>
        <v>75184.4087727</v>
      </c>
      <c r="Q70" s="350" t="n">
        <f aca="false">SUM(Q67:Q69)</f>
        <v>75184.4087727</v>
      </c>
      <c r="R70" s="350" t="n">
        <f aca="false">SUM(R67:R69)</f>
        <v>75184.4087727</v>
      </c>
      <c r="S70" s="350" t="n">
        <f aca="false">SUM(S67:S69)</f>
        <v>75184.4087727</v>
      </c>
      <c r="T70" s="350" t="n">
        <f aca="false">SUM(T67:T69)</f>
        <v>75184.4087727</v>
      </c>
      <c r="U70" s="350" t="n">
        <f aca="false">SUM(U67:U69)</f>
        <v>75184.4087727</v>
      </c>
      <c r="V70" s="350" t="n">
        <f aca="false">SUM(V67:V69)</f>
        <v>77439.941035881</v>
      </c>
      <c r="W70" s="350" t="n">
        <f aca="false">SUM(W67:W69)</f>
        <v>77439.941035881</v>
      </c>
      <c r="X70" s="350" t="n">
        <f aca="false">SUM(X67:X69)</f>
        <v>77439.941035881</v>
      </c>
      <c r="Y70" s="346"/>
      <c r="Z70" s="350" t="n">
        <f aca="false">SUM(M70:X70)</f>
        <v>908979.502061943</v>
      </c>
    </row>
    <row r="71" customFormat="false" ht="14.4" hidden="false" customHeight="fals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23" activeCellId="0" sqref="A23"/>
    </sheetView>
  </sheetViews>
  <sheetFormatPr defaultColWidth="8.6796875" defaultRowHeight="14.4" zeroHeight="false" outlineLevelRow="0" outlineLevelCol="0"/>
  <cols>
    <col collapsed="false" customWidth="true" hidden="false" outlineLevel="0" max="1" min="1" style="288" width="18.11"/>
    <col collapsed="false" customWidth="true" hidden="false" outlineLevel="0" max="2" min="2" style="0" width="25.33"/>
    <col collapsed="false" customWidth="true" hidden="false" outlineLevel="0" max="3" min="3" style="0" width="32.77"/>
    <col collapsed="false" customWidth="true" hidden="false" outlineLevel="0" max="4" min="4" style="0"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0" width="9.21"/>
    <col collapsed="false" customWidth="true" hidden="false" outlineLevel="0" max="25" min="25" style="0" width="2.44"/>
    <col collapsed="false" customWidth="true" hidden="false" outlineLevel="0" max="26" min="26" style="0" width="11.77"/>
    <col collapsed="false" customWidth="true" hidden="false" outlineLevel="0" max="28" min="28" style="0" width="27.22"/>
  </cols>
  <sheetData>
    <row r="1" customFormat="false" ht="17.35" hidden="false" customHeight="false" outlineLevel="0" collapsed="false">
      <c r="A1" s="290" t="s">
        <v>3026</v>
      </c>
    </row>
    <row r="2" customFormat="false" ht="15.6" hidden="false" customHeight="false" outlineLevel="0" collapsed="false">
      <c r="A2" s="291" t="s">
        <v>3123</v>
      </c>
    </row>
    <row r="3" customFormat="false" ht="14.4" hidden="false" customHeight="false" outlineLevel="0" collapsed="false">
      <c r="A3" s="292" t="s">
        <v>3028</v>
      </c>
    </row>
    <row r="4" customFormat="false" ht="14.4" hidden="false" customHeight="false" outlineLevel="0" collapsed="false">
      <c r="A4" s="293" t="s">
        <v>3124</v>
      </c>
    </row>
    <row r="5" customFormat="false" ht="14.4" hidden="false" customHeight="false" outlineLevel="0" collapsed="false">
      <c r="B5" s="294" t="s">
        <v>3030</v>
      </c>
    </row>
    <row r="6" customFormat="false" ht="14.4" hidden="false" customHeight="false" outlineLevel="0" collapsed="false">
      <c r="B6" s="295" t="s">
        <v>3031</v>
      </c>
      <c r="D6" s="296" t="n">
        <v>0.0357146620789436</v>
      </c>
      <c r="E6" s="297"/>
    </row>
    <row r="7" customFormat="false" ht="14.4" hidden="false" customHeight="false" outlineLevel="0" collapsed="false">
      <c r="B7" s="295" t="s">
        <v>3032</v>
      </c>
      <c r="D7" s="298" t="n">
        <v>0.0882323267968679</v>
      </c>
      <c r="E7" s="297"/>
    </row>
    <row r="8" customFormat="false" ht="14.4" hidden="false" customHeight="false" outlineLevel="0" collapsed="false">
      <c r="B8" s="295" t="s">
        <v>3033</v>
      </c>
      <c r="D8" s="299" t="n">
        <v>46661</v>
      </c>
      <c r="V8" s="300" t="s">
        <v>3034</v>
      </c>
    </row>
    <row r="9" customFormat="false" ht="14.4" hidden="false" customHeight="false" outlineLevel="0" collapsed="false">
      <c r="V9" s="300" t="s">
        <v>3035</v>
      </c>
    </row>
    <row r="10" s="309" customFormat="true" ht="29.55" hidden="false" customHeight="true" outlineLevel="0" collapsed="false">
      <c r="A10" s="301"/>
      <c r="B10" s="302" t="s">
        <v>3036</v>
      </c>
      <c r="C10" s="302" t="s">
        <v>3037</v>
      </c>
      <c r="D10" s="303" t="s">
        <v>3038</v>
      </c>
      <c r="E10" s="303" t="s">
        <v>3039</v>
      </c>
      <c r="F10" s="303" t="s">
        <v>3040</v>
      </c>
      <c r="G10" s="304" t="s">
        <v>3041</v>
      </c>
      <c r="H10" s="304" t="s">
        <v>3042</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3043</v>
      </c>
      <c r="AB10" s="310" t="s">
        <v>3044</v>
      </c>
    </row>
    <row r="11" customFormat="false" ht="14.4" hidden="false" customHeight="false" outlineLevel="0" collapsed="false">
      <c r="E11" s="311" t="s">
        <v>3045</v>
      </c>
      <c r="F11" s="311" t="s">
        <v>3045</v>
      </c>
      <c r="G11" s="312"/>
      <c r="H11" s="313" t="s">
        <v>3046</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4" hidden="false" customHeight="fals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4" hidden="false" customHeight="false" outlineLevel="0" collapsed="false">
      <c r="B13" s="317" t="s">
        <v>3047</v>
      </c>
    </row>
    <row r="14" customFormat="false" ht="14.4" hidden="false" customHeight="false" outlineLevel="0" collapsed="false">
      <c r="B14" s="318" t="s">
        <v>3125</v>
      </c>
      <c r="C14" s="318" t="s">
        <v>3126</v>
      </c>
      <c r="D14" s="319" t="n">
        <v>148834</v>
      </c>
      <c r="E14" s="320" t="n">
        <v>46266</v>
      </c>
      <c r="F14" s="320" t="n">
        <v>46722</v>
      </c>
      <c r="G14" s="321" t="n">
        <v>0.03</v>
      </c>
      <c r="H14" s="322" t="n">
        <f aca="false">$D$8</f>
        <v>46661</v>
      </c>
      <c r="I14" s="323" t="n">
        <f aca="false">IF(OR($D14="",$E14="",NOT(ISNUMBER($D14))),"",IF(AND($E14&lt;=I$10,IF($F14="",$X$10,$F14)&gt;=I$10),$D14/12*(1+N($G14))^IF(AND(ISNUMBER($H14),I$10&gt;=$H14),1+INT(DATEDIF($H14,I$10,"m")/12),0),0))</f>
        <v>12402.8333333333</v>
      </c>
      <c r="J14" s="323" t="n">
        <f aca="false">IF(OR($D14="",$E14="",NOT(ISNUMBER($D14))),"",IF(AND($E14&lt;=J$10,IF($F14="",$X$10,$F14)&gt;=J$10),$D14/12*(1+N($G14))^IF(AND(ISNUMBER($H14),J$10&gt;=$H14),1+INT(DATEDIF($H14,J$10,"m")/12),0),0))</f>
        <v>12402.8333333333</v>
      </c>
      <c r="K14" s="323" t="n">
        <f aca="false">IF(OR($D14="",$E14="",NOT(ISNUMBER($D14))),"",IF(AND($E14&lt;=K$10,IF($F14="",$X$10,$F14)&gt;=K$10),$D14/12*(1+N($G14))^IF(AND(ISNUMBER($H14),K$10&gt;=$H14),1+INT(DATEDIF($H14,K$10,"m")/12),0),0))</f>
        <v>12402.8333333333</v>
      </c>
      <c r="L14" s="323" t="n">
        <f aca="false">IF(OR($D14="",$E14="",NOT(ISNUMBER($D14))),"",IF(AND($E14&lt;=L$10,IF($F14="",$X$10,$F14)&gt;=L$10),$D14/12*(1+N($G14))^IF(AND(ISNUMBER($H14),L$10&gt;=$H14),1+INT(DATEDIF($H14,L$10,"m")/12),0),0))</f>
        <v>12402.8333333333</v>
      </c>
      <c r="M14" s="324" t="n">
        <f aca="false">IF(OR($D14="",$E14="",NOT(ISNUMBER($D14))),"",IF(AND($E14&lt;=M$10,IF($F14="",$X$10,$F14)&gt;=M$10),$D14/12*(1+N($G14))^IF(AND(ISNUMBER($H14),M$10&gt;=$H14),1+INT(DATEDIF($H14,M$10,"m")/12),0),0))</f>
        <v>12402.8333333333</v>
      </c>
      <c r="N14" s="323" t="n">
        <f aca="false">IF(OR($D14="",$E14="",NOT(ISNUMBER($D14))),"",IF(AND($E14&lt;=N$10,IF($F14="",$X$10,$F14)&gt;=N$10),$D14/12*(1+N($G14))^IF(AND(ISNUMBER($H14),N$10&gt;=$H14),1+INT(DATEDIF($H14,N$10,"m")/12),0),0))</f>
        <v>12402.8333333333</v>
      </c>
      <c r="O14" s="323" t="n">
        <f aca="false">IF(OR($D14="",$E14="",NOT(ISNUMBER($D14))),"",IF(AND($E14&lt;=O$10,IF($F14="",$X$10,$F14)&gt;=O$10),$D14/12*(1+N($G14))^IF(AND(ISNUMBER($H14),O$10&gt;=$H14),1+INT(DATEDIF($H14,O$10,"m")/12),0),0))</f>
        <v>12402.8333333333</v>
      </c>
      <c r="P14" s="323" t="n">
        <f aca="false">IF(OR($D14="",$E14="",NOT(ISNUMBER($D14))),"",IF(AND($E14&lt;=P$10,IF($F14="",$X$10,$F14)&gt;=P$10),$D14/12*(1+N($G14))^IF(AND(ISNUMBER($H14),P$10&gt;=$H14),1+INT(DATEDIF($H14,P$10,"m")/12),0),0))</f>
        <v>12402.8333333333</v>
      </c>
      <c r="Q14" s="323" t="n">
        <f aca="false">IF(OR($D14="",$E14="",NOT(ISNUMBER($D14))),"",IF(AND($E14&lt;=Q$10,IF($F14="",$X$10,$F14)&gt;=Q$10),$D14/12*(1+N($G14))^IF(AND(ISNUMBER($H14),Q$10&gt;=$H14),1+INT(DATEDIF($H14,Q$10,"m")/12),0),0))</f>
        <v>12402.8333333333</v>
      </c>
      <c r="R14" s="323" t="n">
        <f aca="false">IF(OR($D14="",$E14="",NOT(ISNUMBER($D14))),"",IF(AND($E14&lt;=R$10,IF($F14="",$X$10,$F14)&gt;=R$10),$D14/12*(1+N($G14))^IF(AND(ISNUMBER($H14),R$10&gt;=$H14),1+INT(DATEDIF($H14,R$10,"m")/12),0),0))</f>
        <v>12402.8333333333</v>
      </c>
      <c r="S14" s="323" t="n">
        <f aca="false">IF(OR($D14="",$E14="",NOT(ISNUMBER($D14))),"",IF(AND($E14&lt;=S$10,IF($F14="",$X$10,$F14)&gt;=S$10),$D14/12*(1+N($G14))^IF(AND(ISNUMBER($H14),S$10&gt;=$H14),1+INT(DATEDIF($H14,S$10,"m")/12),0),0))</f>
        <v>12402.8333333333</v>
      </c>
      <c r="T14" s="323" t="n">
        <f aca="false">IF(OR($D14="",$E14="",NOT(ISNUMBER($D14))),"",IF(AND($E14&lt;=T$10,IF($F14="",$X$10,$F14)&gt;=T$10),$D14/12*(1+N($G14))^IF(AND(ISNUMBER($H14),T$10&gt;=$H14),1+INT(DATEDIF($H14,T$10,"m")/12),0),0))</f>
        <v>12402.8333333333</v>
      </c>
      <c r="U14" s="323" t="n">
        <f aca="false">IF(OR($D14="",$E14="",NOT(ISNUMBER($D14))),"",IF(AND($E14&lt;=U$10,IF($F14="",$X$10,$F14)&gt;=U$10),$D14/12*(1+N($G14))^IF(AND(ISNUMBER($H14),U$10&gt;=$H14),1+INT(DATEDIF($H14,U$10,"m")/12),0),0))</f>
        <v>12402.8333333333</v>
      </c>
      <c r="V14" s="323" t="n">
        <f aca="false">IF(OR($D14="",$E14="",NOT(ISNUMBER($D14))),"",IF(AND($E14&lt;=V$10,IF($F14="",$X$10,$F14)&gt;=V$10),$D14/12*(1+N($G14))^IF(AND(ISNUMBER($H14),V$10&gt;=$H14),1+INT(DATEDIF($H14,V$10,"m")/12),0),0))</f>
        <v>12774.9183333333</v>
      </c>
      <c r="W14" s="323" t="n">
        <f aca="false">IF(OR($D14="",$E14="",NOT(ISNUMBER($D14))),"",IF(AND($E14&lt;=W$10,IF($F14="",$X$10,$F14)&gt;=W$10),$D14/12*(1+N($G14))^IF(AND(ISNUMBER($H14),W$10&gt;=$H14),1+INT(DATEDIF($H14,W$10,"m")/12),0),0))</f>
        <v>12774.9183333333</v>
      </c>
      <c r="X14" s="323" t="n">
        <f aca="false">IF(OR($D14="",$E14="",NOT(ISNUMBER($D14))),"",IF(AND($E14&lt;=X$10,IF($F14="",$X$10,$F14)&gt;=X$10),$D14/12*(1+N($G14))^IF(AND(ISNUMBER($H14),X$10&gt;=$H14),1+INT(DATEDIF($H14,X$10,"m")/12),0),0))</f>
        <v>12774.9183333333</v>
      </c>
      <c r="Y14" s="323"/>
      <c r="Z14" s="323" t="n">
        <f aca="false">SUM(M14:X14)</f>
        <v>149950.255</v>
      </c>
      <c r="AB14" s="325" t="str">
        <f aca="false">IF($D14&amp;$E14="","",IF(AND($D14&lt;&gt;"",NOT(ISNUMBER($D14))),"Salary must be a number",IF(AND($D14&lt;&gt;"",$E14=""),"Start month missing",IF(AND(ISNUMBER($E14),ISNUMBER($F14),$F14&lt;$E14),"End is before Start",IF(AND($D14&lt;&gt;"",NOT(ISNUMBER($H14))),"Increase month missing","")))))</f>
        <v/>
      </c>
    </row>
    <row r="15" customFormat="false" ht="14.4" hidden="false" customHeight="false" outlineLevel="0" collapsed="false">
      <c r="B15" s="318" t="s">
        <v>3127</v>
      </c>
      <c r="C15" s="318" t="s">
        <v>3128</v>
      </c>
      <c r="D15" s="319" t="n">
        <v>92000</v>
      </c>
      <c r="E15" s="320" t="n">
        <v>46266</v>
      </c>
      <c r="F15" s="320" t="n">
        <v>46722</v>
      </c>
      <c r="G15" s="321" t="n">
        <v>0.03</v>
      </c>
      <c r="H15" s="322" t="n">
        <f aca="false">$D$8</f>
        <v>46661</v>
      </c>
      <c r="I15" s="323" t="n">
        <f aca="false">IF(OR($D15="",$E15="",NOT(ISNUMBER($D15))),"",IF(AND($E15&lt;=I$10,IF($F15="",$X$10,$F15)&gt;=I$10),$D15/12*(1+N($G15))^IF(AND(ISNUMBER($H15),I$10&gt;=$H15),1+INT(DATEDIF($H15,I$10,"m")/12),0),0))</f>
        <v>7666.66666666667</v>
      </c>
      <c r="J15" s="323" t="n">
        <f aca="false">IF(OR($D15="",$E15="",NOT(ISNUMBER($D15))),"",IF(AND($E15&lt;=J$10,IF($F15="",$X$10,$F15)&gt;=J$10),$D15/12*(1+N($G15))^IF(AND(ISNUMBER($H15),J$10&gt;=$H15),1+INT(DATEDIF($H15,J$10,"m")/12),0),0))</f>
        <v>7666.66666666667</v>
      </c>
      <c r="K15" s="323" t="n">
        <f aca="false">IF(OR($D15="",$E15="",NOT(ISNUMBER($D15))),"",IF(AND($E15&lt;=K$10,IF($F15="",$X$10,$F15)&gt;=K$10),$D15/12*(1+N($G15))^IF(AND(ISNUMBER($H15),K$10&gt;=$H15),1+INT(DATEDIF($H15,K$10,"m")/12),0),0))</f>
        <v>7666.66666666667</v>
      </c>
      <c r="L15" s="323" t="n">
        <f aca="false">IF(OR($D15="",$E15="",NOT(ISNUMBER($D15))),"",IF(AND($E15&lt;=L$10,IF($F15="",$X$10,$F15)&gt;=L$10),$D15/12*(1+N($G15))^IF(AND(ISNUMBER($H15),L$10&gt;=$H15),1+INT(DATEDIF($H15,L$10,"m")/12),0),0))</f>
        <v>7666.66666666667</v>
      </c>
      <c r="M15" s="323" t="n">
        <f aca="false">IF(OR($D15="",$E15="",NOT(ISNUMBER($D15))),"",IF(AND($E15&lt;=M$10,IF($F15="",$X$10,$F15)&gt;=M$10),$D15/12*(1+N($G15))^IF(AND(ISNUMBER($H15),M$10&gt;=$H15),1+INT(DATEDIF($H15,M$10,"m")/12),0),0))</f>
        <v>7666.66666666667</v>
      </c>
      <c r="N15" s="323" t="n">
        <f aca="false">IF(OR($D15="",$E15="",NOT(ISNUMBER($D15))),"",IF(AND($E15&lt;=N$10,IF($F15="",$X$10,$F15)&gt;=N$10),$D15/12*(1+N($G15))^IF(AND(ISNUMBER($H15),N$10&gt;=$H15),1+INT(DATEDIF($H15,N$10,"m")/12),0),0))</f>
        <v>7666.66666666667</v>
      </c>
      <c r="O15" s="323" t="n">
        <f aca="false">IF(OR($D15="",$E15="",NOT(ISNUMBER($D15))),"",IF(AND($E15&lt;=O$10,IF($F15="",$X$10,$F15)&gt;=O$10),$D15/12*(1+N($G15))^IF(AND(ISNUMBER($H15),O$10&gt;=$H15),1+INT(DATEDIF($H15,O$10,"m")/12),0),0))</f>
        <v>7666.66666666667</v>
      </c>
      <c r="P15" s="323" t="n">
        <f aca="false">IF(OR($D15="",$E15="",NOT(ISNUMBER($D15))),"",IF(AND($E15&lt;=P$10,IF($F15="",$X$10,$F15)&gt;=P$10),$D15/12*(1+N($G15))^IF(AND(ISNUMBER($H15),P$10&gt;=$H15),1+INT(DATEDIF($H15,P$10,"m")/12),0),0))</f>
        <v>7666.66666666667</v>
      </c>
      <c r="Q15" s="323" t="n">
        <f aca="false">IF(OR($D15="",$E15="",NOT(ISNUMBER($D15))),"",IF(AND($E15&lt;=Q$10,IF($F15="",$X$10,$F15)&gt;=Q$10),$D15/12*(1+N($G15))^IF(AND(ISNUMBER($H15),Q$10&gt;=$H15),1+INT(DATEDIF($H15,Q$10,"m")/12),0),0))</f>
        <v>7666.66666666667</v>
      </c>
      <c r="R15" s="323" t="n">
        <f aca="false">IF(OR($D15="",$E15="",NOT(ISNUMBER($D15))),"",IF(AND($E15&lt;=R$10,IF($F15="",$X$10,$F15)&gt;=R$10),$D15/12*(1+N($G15))^IF(AND(ISNUMBER($H15),R$10&gt;=$H15),1+INT(DATEDIF($H15,R$10,"m")/12),0),0))</f>
        <v>7666.66666666667</v>
      </c>
      <c r="S15" s="323" t="n">
        <f aca="false">IF(OR($D15="",$E15="",NOT(ISNUMBER($D15))),"",IF(AND($E15&lt;=S$10,IF($F15="",$X$10,$F15)&gt;=S$10),$D15/12*(1+N($G15))^IF(AND(ISNUMBER($H15),S$10&gt;=$H15),1+INT(DATEDIF($H15,S$10,"m")/12),0),0))</f>
        <v>7666.66666666667</v>
      </c>
      <c r="T15" s="323" t="n">
        <f aca="false">IF(OR($D15="",$E15="",NOT(ISNUMBER($D15))),"",IF(AND($E15&lt;=T$10,IF($F15="",$X$10,$F15)&gt;=T$10),$D15/12*(1+N($G15))^IF(AND(ISNUMBER($H15),T$10&gt;=$H15),1+INT(DATEDIF($H15,T$10,"m")/12),0),0))</f>
        <v>7666.66666666667</v>
      </c>
      <c r="U15" s="323" t="n">
        <f aca="false">IF(OR($D15="",$E15="",NOT(ISNUMBER($D15))),"",IF(AND($E15&lt;=U$10,IF($F15="",$X$10,$F15)&gt;=U$10),$D15/12*(1+N($G15))^IF(AND(ISNUMBER($H15),U$10&gt;=$H15),1+INT(DATEDIF($H15,U$10,"m")/12),0),0))</f>
        <v>7666.66666666667</v>
      </c>
      <c r="V15" s="323" t="n">
        <f aca="false">IF(OR($D15="",$E15="",NOT(ISNUMBER($D15))),"",IF(AND($E15&lt;=V$10,IF($F15="",$X$10,$F15)&gt;=V$10),$D15/12*(1+N($G15))^IF(AND(ISNUMBER($H15),V$10&gt;=$H15),1+INT(DATEDIF($H15,V$10,"m")/12),0),0))</f>
        <v>7896.66666666667</v>
      </c>
      <c r="W15" s="323" t="n">
        <f aca="false">IF(OR($D15="",$E15="",NOT(ISNUMBER($D15))),"",IF(AND($E15&lt;=W$10,IF($F15="",$X$10,$F15)&gt;=W$10),$D15/12*(1+N($G15))^IF(AND(ISNUMBER($H15),W$10&gt;=$H15),1+INT(DATEDIF($H15,W$10,"m")/12),0),0))</f>
        <v>7896.66666666667</v>
      </c>
      <c r="X15" s="323" t="n">
        <f aca="false">IF(OR($D15="",$E15="",NOT(ISNUMBER($D15))),"",IF(AND($E15&lt;=X$10,IF($F15="",$X$10,$F15)&gt;=X$10),$D15/12*(1+N($G15))^IF(AND(ISNUMBER($H15),X$10&gt;=$H15),1+INT(DATEDIF($H15,X$10,"m")/12),0),0))</f>
        <v>7896.66666666667</v>
      </c>
      <c r="Y15" s="323"/>
      <c r="Z15" s="323" t="n">
        <f aca="false">SUM(M15:X15)</f>
        <v>92690</v>
      </c>
      <c r="AB15" s="325" t="str">
        <f aca="false">IF($D15&amp;$E15="","",IF(AND($D15&lt;&gt;"",NOT(ISNUMBER($D15))),"Salary must be a number",IF(AND($D15&lt;&gt;"",$E15=""),"Start month missing",IF(AND(ISNUMBER($E15),ISNUMBER($F15),$F15&lt;$E15),"End is before Start",IF(AND($D15&lt;&gt;"",NOT(ISNUMBER($H15))),"Increase month missing","")))))</f>
        <v/>
      </c>
    </row>
    <row r="16" customFormat="false" ht="14.4" hidden="false" customHeight="false" outlineLevel="0" collapsed="false">
      <c r="B16" s="318" t="s">
        <v>3129</v>
      </c>
      <c r="C16" s="318" t="s">
        <v>3130</v>
      </c>
      <c r="D16" s="319" t="n">
        <v>118125</v>
      </c>
      <c r="E16" s="320" t="n">
        <v>46266</v>
      </c>
      <c r="F16" s="320" t="n">
        <v>46722</v>
      </c>
      <c r="G16" s="321" t="n">
        <v>0.03</v>
      </c>
      <c r="H16" s="322" t="n">
        <f aca="false">$D$8</f>
        <v>46661</v>
      </c>
      <c r="I16" s="323" t="n">
        <f aca="false">IF(OR($D16="",$E16="",NOT(ISNUMBER($D16))),"",IF(AND($E16&lt;=I$10,IF($F16="",$X$10,$F16)&gt;=I$10),$D16/12*(1+N($G16))^IF(AND(ISNUMBER($H16),I$10&gt;=$H16),1+INT(DATEDIF($H16,I$10,"m")/12),0),0))</f>
        <v>9843.75</v>
      </c>
      <c r="J16" s="323" t="n">
        <f aca="false">IF(OR($D16="",$E16="",NOT(ISNUMBER($D16))),"",IF(AND($E16&lt;=J$10,IF($F16="",$X$10,$F16)&gt;=J$10),$D16/12*(1+N($G16))^IF(AND(ISNUMBER($H16),J$10&gt;=$H16),1+INT(DATEDIF($H16,J$10,"m")/12),0),0))</f>
        <v>9843.75</v>
      </c>
      <c r="K16" s="323" t="n">
        <f aca="false">IF(OR($D16="",$E16="",NOT(ISNUMBER($D16))),"",IF(AND($E16&lt;=K$10,IF($F16="",$X$10,$F16)&gt;=K$10),$D16/12*(1+N($G16))^IF(AND(ISNUMBER($H16),K$10&gt;=$H16),1+INT(DATEDIF($H16,K$10,"m")/12),0),0))</f>
        <v>9843.75</v>
      </c>
      <c r="L16" s="323" t="n">
        <f aca="false">IF(OR($D16="",$E16="",NOT(ISNUMBER($D16))),"",IF(AND($E16&lt;=L$10,IF($F16="",$X$10,$F16)&gt;=L$10),$D16/12*(1+N($G16))^IF(AND(ISNUMBER($H16),L$10&gt;=$H16),1+INT(DATEDIF($H16,L$10,"m")/12),0),0))</f>
        <v>9843.75</v>
      </c>
      <c r="M16" s="323" t="n">
        <f aca="false">IF(OR($D16="",$E16="",NOT(ISNUMBER($D16))),"",IF(AND($E16&lt;=M$10,IF($F16="",$X$10,$F16)&gt;=M$10),$D16/12*(1+N($G16))^IF(AND(ISNUMBER($H16),M$10&gt;=$H16),1+INT(DATEDIF($H16,M$10,"m")/12),0),0))</f>
        <v>9843.75</v>
      </c>
      <c r="N16" s="323" t="n">
        <f aca="false">IF(OR($D16="",$E16="",NOT(ISNUMBER($D16))),"",IF(AND($E16&lt;=N$10,IF($F16="",$X$10,$F16)&gt;=N$10),$D16/12*(1+N($G16))^IF(AND(ISNUMBER($H16),N$10&gt;=$H16),1+INT(DATEDIF($H16,N$10,"m")/12),0),0))</f>
        <v>9843.75</v>
      </c>
      <c r="O16" s="323" t="n">
        <f aca="false">IF(OR($D16="",$E16="",NOT(ISNUMBER($D16))),"",IF(AND($E16&lt;=O$10,IF($F16="",$X$10,$F16)&gt;=O$10),$D16/12*(1+N($G16))^IF(AND(ISNUMBER($H16),O$10&gt;=$H16),1+INT(DATEDIF($H16,O$10,"m")/12),0),0))</f>
        <v>9843.75</v>
      </c>
      <c r="P16" s="323" t="n">
        <f aca="false">IF(OR($D16="",$E16="",NOT(ISNUMBER($D16))),"",IF(AND($E16&lt;=P$10,IF($F16="",$X$10,$F16)&gt;=P$10),$D16/12*(1+N($G16))^IF(AND(ISNUMBER($H16),P$10&gt;=$H16),1+INT(DATEDIF($H16,P$10,"m")/12),0),0))</f>
        <v>9843.75</v>
      </c>
      <c r="Q16" s="323" t="n">
        <f aca="false">IF(OR($D16="",$E16="",NOT(ISNUMBER($D16))),"",IF(AND($E16&lt;=Q$10,IF($F16="",$X$10,$F16)&gt;=Q$10),$D16/12*(1+N($G16))^IF(AND(ISNUMBER($H16),Q$10&gt;=$H16),1+INT(DATEDIF($H16,Q$10,"m")/12),0),0))</f>
        <v>9843.75</v>
      </c>
      <c r="R16" s="323" t="n">
        <f aca="false">IF(OR($D16="",$E16="",NOT(ISNUMBER($D16))),"",IF(AND($E16&lt;=R$10,IF($F16="",$X$10,$F16)&gt;=R$10),$D16/12*(1+N($G16))^IF(AND(ISNUMBER($H16),R$10&gt;=$H16),1+INT(DATEDIF($H16,R$10,"m")/12),0),0))</f>
        <v>9843.75</v>
      </c>
      <c r="S16" s="323" t="n">
        <f aca="false">IF(OR($D16="",$E16="",NOT(ISNUMBER($D16))),"",IF(AND($E16&lt;=S$10,IF($F16="",$X$10,$F16)&gt;=S$10),$D16/12*(1+N($G16))^IF(AND(ISNUMBER($H16),S$10&gt;=$H16),1+INT(DATEDIF($H16,S$10,"m")/12),0),0))</f>
        <v>9843.75</v>
      </c>
      <c r="T16" s="323" t="n">
        <f aca="false">IF(OR($D16="",$E16="",NOT(ISNUMBER($D16))),"",IF(AND($E16&lt;=T$10,IF($F16="",$X$10,$F16)&gt;=T$10),$D16/12*(1+N($G16))^IF(AND(ISNUMBER($H16),T$10&gt;=$H16),1+INT(DATEDIF($H16,T$10,"m")/12),0),0))</f>
        <v>9843.75</v>
      </c>
      <c r="U16" s="323" t="n">
        <f aca="false">IF(OR($D16="",$E16="",NOT(ISNUMBER($D16))),"",IF(AND($E16&lt;=U$10,IF($F16="",$X$10,$F16)&gt;=U$10),$D16/12*(1+N($G16))^IF(AND(ISNUMBER($H16),U$10&gt;=$H16),1+INT(DATEDIF($H16,U$10,"m")/12),0),0))</f>
        <v>9843.75</v>
      </c>
      <c r="V16" s="323" t="n">
        <f aca="false">IF(OR($D16="",$E16="",NOT(ISNUMBER($D16))),"",IF(AND($E16&lt;=V$10,IF($F16="",$X$10,$F16)&gt;=V$10),$D16/12*(1+N($G16))^IF(AND(ISNUMBER($H16),V$10&gt;=$H16),1+INT(DATEDIF($H16,V$10,"m")/12),0),0))</f>
        <v>10139.0625</v>
      </c>
      <c r="W16" s="323" t="n">
        <f aca="false">IF(OR($D16="",$E16="",NOT(ISNUMBER($D16))),"",IF(AND($E16&lt;=W$10,IF($F16="",$X$10,$F16)&gt;=W$10),$D16/12*(1+N($G16))^IF(AND(ISNUMBER($H16),W$10&gt;=$H16),1+INT(DATEDIF($H16,W$10,"m")/12),0),0))</f>
        <v>10139.0625</v>
      </c>
      <c r="X16" s="323" t="n">
        <f aca="false">IF(OR($D16="",$E16="",NOT(ISNUMBER($D16))),"",IF(AND($E16&lt;=X$10,IF($F16="",$X$10,$F16)&gt;=X$10),$D16/12*(1+N($G16))^IF(AND(ISNUMBER($H16),X$10&gt;=$H16),1+INT(DATEDIF($H16,X$10,"m")/12),0),0))</f>
        <v>10139.0625</v>
      </c>
      <c r="Y16" s="323"/>
      <c r="Z16" s="323" t="n">
        <f aca="false">SUM(M16:X16)</f>
        <v>119010.9375</v>
      </c>
      <c r="AB16" s="325" t="str">
        <f aca="false">IF($D16&amp;$E16="","",IF(AND($D16&lt;&gt;"",NOT(ISNUMBER($D16))),"Salary must be a number",IF(AND($D16&lt;&gt;"",$E16=""),"Start month missing",IF(AND(ISNUMBER($E16),ISNUMBER($F16),$F16&lt;$E16),"End is before Start",IF(AND($D16&lt;&gt;"",NOT(ISNUMBER($H16))),"Increase month missing","")))))</f>
        <v/>
      </c>
    </row>
    <row r="17" customFormat="false" ht="14.4" hidden="false" customHeight="false" outlineLevel="0" collapsed="false">
      <c r="B17" s="318" t="s">
        <v>3131</v>
      </c>
      <c r="C17" s="318" t="s">
        <v>3132</v>
      </c>
      <c r="D17" s="319" t="n">
        <v>171039</v>
      </c>
      <c r="E17" s="320" t="n">
        <v>46266</v>
      </c>
      <c r="F17" s="320" t="n">
        <v>46722</v>
      </c>
      <c r="G17" s="321" t="n">
        <v>0.03</v>
      </c>
      <c r="H17" s="322" t="n">
        <f aca="false">$D$8</f>
        <v>46661</v>
      </c>
      <c r="I17" s="323" t="n">
        <f aca="false">IF(OR($D17="",$E17="",NOT(ISNUMBER($D17))),"",IF(AND($E17&lt;=I$10,IF($F17="",$X$10,$F17)&gt;=I$10),$D17/12*(1+N($G17))^IF(AND(ISNUMBER($H17),I$10&gt;=$H17),1+INT(DATEDIF($H17,I$10,"m")/12),0),0))</f>
        <v>14253.25</v>
      </c>
      <c r="J17" s="323" t="n">
        <f aca="false">IF(OR($D17="",$E17="",NOT(ISNUMBER($D17))),"",IF(AND($E17&lt;=J$10,IF($F17="",$X$10,$F17)&gt;=J$10),$D17/12*(1+N($G17))^IF(AND(ISNUMBER($H17),J$10&gt;=$H17),1+INT(DATEDIF($H17,J$10,"m")/12),0),0))</f>
        <v>14253.25</v>
      </c>
      <c r="K17" s="323" t="n">
        <f aca="false">IF(OR($D17="",$E17="",NOT(ISNUMBER($D17))),"",IF(AND($E17&lt;=K$10,IF($F17="",$X$10,$F17)&gt;=K$10),$D17/12*(1+N($G17))^IF(AND(ISNUMBER($H17),K$10&gt;=$H17),1+INT(DATEDIF($H17,K$10,"m")/12),0),0))</f>
        <v>14253.25</v>
      </c>
      <c r="L17" s="323" t="n">
        <f aca="false">IF(OR($D17="",$E17="",NOT(ISNUMBER($D17))),"",IF(AND($E17&lt;=L$10,IF($F17="",$X$10,$F17)&gt;=L$10),$D17/12*(1+N($G17))^IF(AND(ISNUMBER($H17),L$10&gt;=$H17),1+INT(DATEDIF($H17,L$10,"m")/12),0),0))</f>
        <v>14253.25</v>
      </c>
      <c r="M17" s="323" t="n">
        <f aca="false">IF(OR($D17="",$E17="",NOT(ISNUMBER($D17))),"",IF(AND($E17&lt;=M$10,IF($F17="",$X$10,$F17)&gt;=M$10),$D17/12*(1+N($G17))^IF(AND(ISNUMBER($H17),M$10&gt;=$H17),1+INT(DATEDIF($H17,M$10,"m")/12),0),0))</f>
        <v>14253.25</v>
      </c>
      <c r="N17" s="323" t="n">
        <f aca="false">IF(OR($D17="",$E17="",NOT(ISNUMBER($D17))),"",IF(AND($E17&lt;=N$10,IF($F17="",$X$10,$F17)&gt;=N$10),$D17/12*(1+N($G17))^IF(AND(ISNUMBER($H17),N$10&gt;=$H17),1+INT(DATEDIF($H17,N$10,"m")/12),0),0))</f>
        <v>14253.25</v>
      </c>
      <c r="O17" s="323" t="n">
        <f aca="false">IF(OR($D17="",$E17="",NOT(ISNUMBER($D17))),"",IF(AND($E17&lt;=O$10,IF($F17="",$X$10,$F17)&gt;=O$10),$D17/12*(1+N($G17))^IF(AND(ISNUMBER($H17),O$10&gt;=$H17),1+INT(DATEDIF($H17,O$10,"m")/12),0),0))</f>
        <v>14253.25</v>
      </c>
      <c r="P17" s="323" t="n">
        <f aca="false">IF(OR($D17="",$E17="",NOT(ISNUMBER($D17))),"",IF(AND($E17&lt;=P$10,IF($F17="",$X$10,$F17)&gt;=P$10),$D17/12*(1+N($G17))^IF(AND(ISNUMBER($H17),P$10&gt;=$H17),1+INT(DATEDIF($H17,P$10,"m")/12),0),0))</f>
        <v>14253.25</v>
      </c>
      <c r="Q17" s="323" t="n">
        <f aca="false">IF(OR($D17="",$E17="",NOT(ISNUMBER($D17))),"",IF(AND($E17&lt;=Q$10,IF($F17="",$X$10,$F17)&gt;=Q$10),$D17/12*(1+N($G17))^IF(AND(ISNUMBER($H17),Q$10&gt;=$H17),1+INT(DATEDIF($H17,Q$10,"m")/12),0),0))</f>
        <v>14253.25</v>
      </c>
      <c r="R17" s="323" t="n">
        <f aca="false">IF(OR($D17="",$E17="",NOT(ISNUMBER($D17))),"",IF(AND($E17&lt;=R$10,IF($F17="",$X$10,$F17)&gt;=R$10),$D17/12*(1+N($G17))^IF(AND(ISNUMBER($H17),R$10&gt;=$H17),1+INT(DATEDIF($H17,R$10,"m")/12),0),0))</f>
        <v>14253.25</v>
      </c>
      <c r="S17" s="323" t="n">
        <f aca="false">IF(OR($D17="",$E17="",NOT(ISNUMBER($D17))),"",IF(AND($E17&lt;=S$10,IF($F17="",$X$10,$F17)&gt;=S$10),$D17/12*(1+N($G17))^IF(AND(ISNUMBER($H17),S$10&gt;=$H17),1+INT(DATEDIF($H17,S$10,"m")/12),0),0))</f>
        <v>14253.25</v>
      </c>
      <c r="T17" s="323" t="n">
        <f aca="false">IF(OR($D17="",$E17="",NOT(ISNUMBER($D17))),"",IF(AND($E17&lt;=T$10,IF($F17="",$X$10,$F17)&gt;=T$10),$D17/12*(1+N($G17))^IF(AND(ISNUMBER($H17),T$10&gt;=$H17),1+INT(DATEDIF($H17,T$10,"m")/12),0),0))</f>
        <v>14253.25</v>
      </c>
      <c r="U17" s="323" t="n">
        <f aca="false">IF(OR($D17="",$E17="",NOT(ISNUMBER($D17))),"",IF(AND($E17&lt;=U$10,IF($F17="",$X$10,$F17)&gt;=U$10),$D17/12*(1+N($G17))^IF(AND(ISNUMBER($H17),U$10&gt;=$H17),1+INT(DATEDIF($H17,U$10,"m")/12),0),0))</f>
        <v>14253.25</v>
      </c>
      <c r="V17" s="323" t="n">
        <f aca="false">IF(OR($D17="",$E17="",NOT(ISNUMBER($D17))),"",IF(AND($E17&lt;=V$10,IF($F17="",$X$10,$F17)&gt;=V$10),$D17/12*(1+N($G17))^IF(AND(ISNUMBER($H17),V$10&gt;=$H17),1+INT(DATEDIF($H17,V$10,"m")/12),0),0))</f>
        <v>14680.8475</v>
      </c>
      <c r="W17" s="323" t="n">
        <f aca="false">IF(OR($D17="",$E17="",NOT(ISNUMBER($D17))),"",IF(AND($E17&lt;=W$10,IF($F17="",$X$10,$F17)&gt;=W$10),$D17/12*(1+N($G17))^IF(AND(ISNUMBER($H17),W$10&gt;=$H17),1+INT(DATEDIF($H17,W$10,"m")/12),0),0))</f>
        <v>14680.8475</v>
      </c>
      <c r="X17" s="323" t="n">
        <f aca="false">IF(OR($D17="",$E17="",NOT(ISNUMBER($D17))),"",IF(AND($E17&lt;=X$10,IF($F17="",$X$10,$F17)&gt;=X$10),$D17/12*(1+N($G17))^IF(AND(ISNUMBER($H17),X$10&gt;=$H17),1+INT(DATEDIF($H17,X$10,"m")/12),0),0))</f>
        <v>14680.8475</v>
      </c>
      <c r="Y17" s="323"/>
      <c r="Z17" s="323" t="n">
        <f aca="false">SUM(M17:X17)</f>
        <v>172321.7925</v>
      </c>
      <c r="AB17" s="325" t="str">
        <f aca="false">IF($D17&amp;$E17="","",IF(AND($D17&lt;&gt;"",NOT(ISNUMBER($D17))),"Salary must be a number",IF(AND($D17&lt;&gt;"",$E17=""),"Start month missing",IF(AND(ISNUMBER($E17),ISNUMBER($F17),$F17&lt;$E17),"End is before Start",IF(AND($D17&lt;&gt;"",NOT(ISNUMBER($H17))),"Increase month missing","")))))</f>
        <v/>
      </c>
    </row>
    <row r="18" customFormat="false" ht="14.4" hidden="false" customHeight="false" outlineLevel="0" collapsed="false">
      <c r="B18" s="318" t="s">
        <v>3133</v>
      </c>
      <c r="C18" s="318" t="s">
        <v>3134</v>
      </c>
      <c r="D18" s="319" t="n">
        <v>67317</v>
      </c>
      <c r="E18" s="320" t="n">
        <v>46266</v>
      </c>
      <c r="F18" s="320" t="n">
        <v>46722</v>
      </c>
      <c r="G18" s="321" t="n">
        <v>0.03</v>
      </c>
      <c r="H18" s="322" t="n">
        <f aca="false">$D$8</f>
        <v>46661</v>
      </c>
      <c r="I18" s="323" t="n">
        <f aca="false">IF(OR($D18="",$E18="",NOT(ISNUMBER($D18))),"",IF(AND($E18&lt;=I$10,IF($F18="",$X$10,$F18)&gt;=I$10),$D18/12*(1+N($G18))^IF(AND(ISNUMBER($H18),I$10&gt;=$H18),1+INT(DATEDIF($H18,I$10,"m")/12),0),0))</f>
        <v>5609.75</v>
      </c>
      <c r="J18" s="323" t="n">
        <f aca="false">IF(OR($D18="",$E18="",NOT(ISNUMBER($D18))),"",IF(AND($E18&lt;=J$10,IF($F18="",$X$10,$F18)&gt;=J$10),$D18/12*(1+N($G18))^IF(AND(ISNUMBER($H18),J$10&gt;=$H18),1+INT(DATEDIF($H18,J$10,"m")/12),0),0))</f>
        <v>5609.75</v>
      </c>
      <c r="K18" s="323" t="n">
        <f aca="false">IF(OR($D18="",$E18="",NOT(ISNUMBER($D18))),"",IF(AND($E18&lt;=K$10,IF($F18="",$X$10,$F18)&gt;=K$10),$D18/12*(1+N($G18))^IF(AND(ISNUMBER($H18),K$10&gt;=$H18),1+INT(DATEDIF($H18,K$10,"m")/12),0),0))</f>
        <v>5609.75</v>
      </c>
      <c r="L18" s="323" t="n">
        <f aca="false">IF(OR($D18="",$E18="",NOT(ISNUMBER($D18))),"",IF(AND($E18&lt;=L$10,IF($F18="",$X$10,$F18)&gt;=L$10),$D18/12*(1+N($G18))^IF(AND(ISNUMBER($H18),L$10&gt;=$H18),1+INT(DATEDIF($H18,L$10,"m")/12),0),0))</f>
        <v>5609.75</v>
      </c>
      <c r="M18" s="323" t="n">
        <f aca="false">IF(OR($D18="",$E18="",NOT(ISNUMBER($D18))),"",IF(AND($E18&lt;=M$10,IF($F18="",$X$10,$F18)&gt;=M$10),$D18/12*(1+N($G18))^IF(AND(ISNUMBER($H18),M$10&gt;=$H18),1+INT(DATEDIF($H18,M$10,"m")/12),0),0))</f>
        <v>5609.75</v>
      </c>
      <c r="N18" s="323" t="n">
        <f aca="false">IF(OR($D18="",$E18="",NOT(ISNUMBER($D18))),"",IF(AND($E18&lt;=N$10,IF($F18="",$X$10,$F18)&gt;=N$10),$D18/12*(1+N($G18))^IF(AND(ISNUMBER($H18),N$10&gt;=$H18),1+INT(DATEDIF($H18,N$10,"m")/12),0),0))</f>
        <v>5609.75</v>
      </c>
      <c r="O18" s="323" t="n">
        <f aca="false">IF(OR($D18="",$E18="",NOT(ISNUMBER($D18))),"",IF(AND($E18&lt;=O$10,IF($F18="",$X$10,$F18)&gt;=O$10),$D18/12*(1+N($G18))^IF(AND(ISNUMBER($H18),O$10&gt;=$H18),1+INT(DATEDIF($H18,O$10,"m")/12),0),0))</f>
        <v>5609.75</v>
      </c>
      <c r="P18" s="323" t="n">
        <f aca="false">IF(OR($D18="",$E18="",NOT(ISNUMBER($D18))),"",IF(AND($E18&lt;=P$10,IF($F18="",$X$10,$F18)&gt;=P$10),$D18/12*(1+N($G18))^IF(AND(ISNUMBER($H18),P$10&gt;=$H18),1+INT(DATEDIF($H18,P$10,"m")/12),0),0))</f>
        <v>5609.75</v>
      </c>
      <c r="Q18" s="323" t="n">
        <f aca="false">IF(OR($D18="",$E18="",NOT(ISNUMBER($D18))),"",IF(AND($E18&lt;=Q$10,IF($F18="",$X$10,$F18)&gt;=Q$10),$D18/12*(1+N($G18))^IF(AND(ISNUMBER($H18),Q$10&gt;=$H18),1+INT(DATEDIF($H18,Q$10,"m")/12),0),0))</f>
        <v>5609.75</v>
      </c>
      <c r="R18" s="323" t="n">
        <f aca="false">IF(OR($D18="",$E18="",NOT(ISNUMBER($D18))),"",IF(AND($E18&lt;=R$10,IF($F18="",$X$10,$F18)&gt;=R$10),$D18/12*(1+N($G18))^IF(AND(ISNUMBER($H18),R$10&gt;=$H18),1+INT(DATEDIF($H18,R$10,"m")/12),0),0))</f>
        <v>5609.75</v>
      </c>
      <c r="S18" s="323" t="n">
        <f aca="false">IF(OR($D18="",$E18="",NOT(ISNUMBER($D18))),"",IF(AND($E18&lt;=S$10,IF($F18="",$X$10,$F18)&gt;=S$10),$D18/12*(1+N($G18))^IF(AND(ISNUMBER($H18),S$10&gt;=$H18),1+INT(DATEDIF($H18,S$10,"m")/12),0),0))</f>
        <v>5609.75</v>
      </c>
      <c r="T18" s="323" t="n">
        <f aca="false">IF(OR($D18="",$E18="",NOT(ISNUMBER($D18))),"",IF(AND($E18&lt;=T$10,IF($F18="",$X$10,$F18)&gt;=T$10),$D18/12*(1+N($G18))^IF(AND(ISNUMBER($H18),T$10&gt;=$H18),1+INT(DATEDIF($H18,T$10,"m")/12),0),0))</f>
        <v>5609.75</v>
      </c>
      <c r="U18" s="323" t="n">
        <f aca="false">IF(OR($D18="",$E18="",NOT(ISNUMBER($D18))),"",IF(AND($E18&lt;=U$10,IF($F18="",$X$10,$F18)&gt;=U$10),$D18/12*(1+N($G18))^IF(AND(ISNUMBER($H18),U$10&gt;=$H18),1+INT(DATEDIF($H18,U$10,"m")/12),0),0))</f>
        <v>5609.75</v>
      </c>
      <c r="V18" s="323" t="n">
        <f aca="false">IF(OR($D18="",$E18="",NOT(ISNUMBER($D18))),"",IF(AND($E18&lt;=V$10,IF($F18="",$X$10,$F18)&gt;=V$10),$D18/12*(1+N($G18))^IF(AND(ISNUMBER($H18),V$10&gt;=$H18),1+INT(DATEDIF($H18,V$10,"m")/12),0),0))</f>
        <v>5778.0425</v>
      </c>
      <c r="W18" s="323" t="n">
        <f aca="false">IF(OR($D18="",$E18="",NOT(ISNUMBER($D18))),"",IF(AND($E18&lt;=W$10,IF($F18="",$X$10,$F18)&gt;=W$10),$D18/12*(1+N($G18))^IF(AND(ISNUMBER($H18),W$10&gt;=$H18),1+INT(DATEDIF($H18,W$10,"m")/12),0),0))</f>
        <v>5778.0425</v>
      </c>
      <c r="X18" s="323" t="n">
        <f aca="false">IF(OR($D18="",$E18="",NOT(ISNUMBER($D18))),"",IF(AND($E18&lt;=X$10,IF($F18="",$X$10,$F18)&gt;=X$10),$D18/12*(1+N($G18))^IF(AND(ISNUMBER($H18),X$10&gt;=$H18),1+INT(DATEDIF($H18,X$10,"m")/12),0),0))</f>
        <v>5778.0425</v>
      </c>
      <c r="Y18" s="323"/>
      <c r="Z18" s="323" t="n">
        <f aca="false">SUM(M18:X18)</f>
        <v>67821.8775</v>
      </c>
      <c r="AB18" s="325" t="str">
        <f aca="false">IF($D18&amp;$E18="","",IF(AND($D18&lt;&gt;"",NOT(ISNUMBER($D18))),"Salary must be a number",IF(AND($D18&lt;&gt;"",$E18=""),"Start month missing",IF(AND(ISNUMBER($E18),ISNUMBER($F18),$F18&lt;$E18),"End is before Start",IF(AND($D18&lt;&gt;"",NOT(ISNUMBER($H18))),"Increase month missing","")))))</f>
        <v/>
      </c>
    </row>
    <row r="19" customFormat="false" ht="14.4" hidden="false" customHeight="false" outlineLevel="0" collapsed="false">
      <c r="B19" s="318" t="s">
        <v>3135</v>
      </c>
      <c r="C19" s="318" t="s">
        <v>3136</v>
      </c>
      <c r="D19" s="319" t="n">
        <v>62400</v>
      </c>
      <c r="E19" s="320" t="n">
        <v>46266</v>
      </c>
      <c r="F19" s="320" t="n">
        <v>46722</v>
      </c>
      <c r="G19" s="321" t="n">
        <v>0.03</v>
      </c>
      <c r="H19" s="322" t="n">
        <f aca="false">$D$8</f>
        <v>46661</v>
      </c>
      <c r="I19" s="323" t="n">
        <f aca="false">IF(OR($D19="",$E19="",NOT(ISNUMBER($D19))),"",IF(AND($E19&lt;=I$10,IF($F19="",$X$10,$F19)&gt;=I$10),$D19/12*(1+N($G19))^IF(AND(ISNUMBER($H19),I$10&gt;=$H19),1+INT(DATEDIF($H19,I$10,"m")/12),0),0))</f>
        <v>5200</v>
      </c>
      <c r="J19" s="323" t="n">
        <f aca="false">IF(OR($D19="",$E19="",NOT(ISNUMBER($D19))),"",IF(AND($E19&lt;=J$10,IF($F19="",$X$10,$F19)&gt;=J$10),$D19/12*(1+N($G19))^IF(AND(ISNUMBER($H19),J$10&gt;=$H19),1+INT(DATEDIF($H19,J$10,"m")/12),0),0))</f>
        <v>5200</v>
      </c>
      <c r="K19" s="323" t="n">
        <f aca="false">IF(OR($D19="",$E19="",NOT(ISNUMBER($D19))),"",IF(AND($E19&lt;=K$10,IF($F19="",$X$10,$F19)&gt;=K$10),$D19/12*(1+N($G19))^IF(AND(ISNUMBER($H19),K$10&gt;=$H19),1+INT(DATEDIF($H19,K$10,"m")/12),0),0))</f>
        <v>5200</v>
      </c>
      <c r="L19" s="323" t="n">
        <f aca="false">IF(OR($D19="",$E19="",NOT(ISNUMBER($D19))),"",IF(AND($E19&lt;=L$10,IF($F19="",$X$10,$F19)&gt;=L$10),$D19/12*(1+N($G19))^IF(AND(ISNUMBER($H19),L$10&gt;=$H19),1+INT(DATEDIF($H19,L$10,"m")/12),0),0))</f>
        <v>5200</v>
      </c>
      <c r="M19" s="323" t="n">
        <f aca="false">IF(OR($D19="",$E19="",NOT(ISNUMBER($D19))),"",IF(AND($E19&lt;=M$10,IF($F19="",$X$10,$F19)&gt;=M$10),$D19/12*(1+N($G19))^IF(AND(ISNUMBER($H19),M$10&gt;=$H19),1+INT(DATEDIF($H19,M$10,"m")/12),0),0))</f>
        <v>5200</v>
      </c>
      <c r="N19" s="323" t="n">
        <f aca="false">IF(OR($D19="",$E19="",NOT(ISNUMBER($D19))),"",IF(AND($E19&lt;=N$10,IF($F19="",$X$10,$F19)&gt;=N$10),$D19/12*(1+N($G19))^IF(AND(ISNUMBER($H19),N$10&gt;=$H19),1+INT(DATEDIF($H19,N$10,"m")/12),0),0))</f>
        <v>5200</v>
      </c>
      <c r="O19" s="323" t="n">
        <f aca="false">IF(OR($D19="",$E19="",NOT(ISNUMBER($D19))),"",IF(AND($E19&lt;=O$10,IF($F19="",$X$10,$F19)&gt;=O$10),$D19/12*(1+N($G19))^IF(AND(ISNUMBER($H19),O$10&gt;=$H19),1+INT(DATEDIF($H19,O$10,"m")/12),0),0))</f>
        <v>5200</v>
      </c>
      <c r="P19" s="323" t="n">
        <f aca="false">IF(OR($D19="",$E19="",NOT(ISNUMBER($D19))),"",IF(AND($E19&lt;=P$10,IF($F19="",$X$10,$F19)&gt;=P$10),$D19/12*(1+N($G19))^IF(AND(ISNUMBER($H19),P$10&gt;=$H19),1+INT(DATEDIF($H19,P$10,"m")/12),0),0))</f>
        <v>5200</v>
      </c>
      <c r="Q19" s="323" t="n">
        <f aca="false">IF(OR($D19="",$E19="",NOT(ISNUMBER($D19))),"",IF(AND($E19&lt;=Q$10,IF($F19="",$X$10,$F19)&gt;=Q$10),$D19/12*(1+N($G19))^IF(AND(ISNUMBER($H19),Q$10&gt;=$H19),1+INT(DATEDIF($H19,Q$10,"m")/12),0),0))</f>
        <v>5200</v>
      </c>
      <c r="R19" s="323" t="n">
        <f aca="false">IF(OR($D19="",$E19="",NOT(ISNUMBER($D19))),"",IF(AND($E19&lt;=R$10,IF($F19="",$X$10,$F19)&gt;=R$10),$D19/12*(1+N($G19))^IF(AND(ISNUMBER($H19),R$10&gt;=$H19),1+INT(DATEDIF($H19,R$10,"m")/12),0),0))</f>
        <v>5200</v>
      </c>
      <c r="S19" s="323" t="n">
        <f aca="false">IF(OR($D19="",$E19="",NOT(ISNUMBER($D19))),"",IF(AND($E19&lt;=S$10,IF($F19="",$X$10,$F19)&gt;=S$10),$D19/12*(1+N($G19))^IF(AND(ISNUMBER($H19),S$10&gt;=$H19),1+INT(DATEDIF($H19,S$10,"m")/12),0),0))</f>
        <v>5200</v>
      </c>
      <c r="T19" s="323" t="n">
        <f aca="false">IF(OR($D19="",$E19="",NOT(ISNUMBER($D19))),"",IF(AND($E19&lt;=T$10,IF($F19="",$X$10,$F19)&gt;=T$10),$D19/12*(1+N($G19))^IF(AND(ISNUMBER($H19),T$10&gt;=$H19),1+INT(DATEDIF($H19,T$10,"m")/12),0),0))</f>
        <v>5200</v>
      </c>
      <c r="U19" s="323" t="n">
        <f aca="false">IF(OR($D19="",$E19="",NOT(ISNUMBER($D19))),"",IF(AND($E19&lt;=U$10,IF($F19="",$X$10,$F19)&gt;=U$10),$D19/12*(1+N($G19))^IF(AND(ISNUMBER($H19),U$10&gt;=$H19),1+INT(DATEDIF($H19,U$10,"m")/12),0),0))</f>
        <v>5200</v>
      </c>
      <c r="V19" s="323" t="n">
        <f aca="false">IF(OR($D19="",$E19="",NOT(ISNUMBER($D19))),"",IF(AND($E19&lt;=V$10,IF($F19="",$X$10,$F19)&gt;=V$10),$D19/12*(1+N($G19))^IF(AND(ISNUMBER($H19),V$10&gt;=$H19),1+INT(DATEDIF($H19,V$10,"m")/12),0),0))</f>
        <v>5356</v>
      </c>
      <c r="W19" s="323" t="n">
        <f aca="false">IF(OR($D19="",$E19="",NOT(ISNUMBER($D19))),"",IF(AND($E19&lt;=W$10,IF($F19="",$X$10,$F19)&gt;=W$10),$D19/12*(1+N($G19))^IF(AND(ISNUMBER($H19),W$10&gt;=$H19),1+INT(DATEDIF($H19,W$10,"m")/12),0),0))</f>
        <v>5356</v>
      </c>
      <c r="X19" s="323" t="n">
        <f aca="false">IF(OR($D19="",$E19="",NOT(ISNUMBER($D19))),"",IF(AND($E19&lt;=X$10,IF($F19="",$X$10,$F19)&gt;=X$10),$D19/12*(1+N($G19))^IF(AND(ISNUMBER($H19),X$10&gt;=$H19),1+INT(DATEDIF($H19,X$10,"m")/12),0),0))</f>
        <v>5356</v>
      </c>
      <c r="Y19" s="323"/>
      <c r="Z19" s="323" t="n">
        <f aca="false">SUM(M19:X19)</f>
        <v>62868</v>
      </c>
      <c r="AB19" s="325" t="str">
        <f aca="false">IF($D19&amp;$E19="","",IF(AND($D19&lt;&gt;"",NOT(ISNUMBER($D19))),"Salary must be a number",IF(AND($D19&lt;&gt;"",$E19=""),"Start month missing",IF(AND(ISNUMBER($E19),ISNUMBER($F19),$F19&lt;$E19),"End is before Start",IF(AND($D19&lt;&gt;"",NOT(ISNUMBER($H19))),"Increase month missing","")))))</f>
        <v/>
      </c>
    </row>
    <row r="20" customFormat="false" ht="14.4" hidden="false" customHeight="false" outlineLevel="0" collapsed="false">
      <c r="B20" s="318" t="s">
        <v>3137</v>
      </c>
      <c r="C20" s="318" t="s">
        <v>3138</v>
      </c>
      <c r="D20" s="319" t="n">
        <v>85280</v>
      </c>
      <c r="E20" s="320" t="n">
        <v>46266</v>
      </c>
      <c r="F20" s="320" t="n">
        <v>46722</v>
      </c>
      <c r="G20" s="321" t="n">
        <v>0.03</v>
      </c>
      <c r="H20" s="322" t="n">
        <f aca="false">$D$8</f>
        <v>46661</v>
      </c>
      <c r="I20" s="323" t="n">
        <f aca="false">IF(OR($D20="",$E20="",NOT(ISNUMBER($D20))),"",IF(AND($E20&lt;=I$10,IF($F20="",$X$10,$F20)&gt;=I$10),$D20/12*(1+N($G20))^IF(AND(ISNUMBER($H20),I$10&gt;=$H20),1+INT(DATEDIF($H20,I$10,"m")/12),0),0))</f>
        <v>7106.66666666667</v>
      </c>
      <c r="J20" s="323" t="n">
        <f aca="false">IF(OR($D20="",$E20="",NOT(ISNUMBER($D20))),"",IF(AND($E20&lt;=J$10,IF($F20="",$X$10,$F20)&gt;=J$10),$D20/12*(1+N($G20))^IF(AND(ISNUMBER($H20),J$10&gt;=$H20),1+INT(DATEDIF($H20,J$10,"m")/12),0),0))</f>
        <v>7106.66666666667</v>
      </c>
      <c r="K20" s="323" t="n">
        <f aca="false">IF(OR($D20="",$E20="",NOT(ISNUMBER($D20))),"",IF(AND($E20&lt;=K$10,IF($F20="",$X$10,$F20)&gt;=K$10),$D20/12*(1+N($G20))^IF(AND(ISNUMBER($H20),K$10&gt;=$H20),1+INT(DATEDIF($H20,K$10,"m")/12),0),0))</f>
        <v>7106.66666666667</v>
      </c>
      <c r="L20" s="323" t="n">
        <f aca="false">IF(OR($D20="",$E20="",NOT(ISNUMBER($D20))),"",IF(AND($E20&lt;=L$10,IF($F20="",$X$10,$F20)&gt;=L$10),$D20/12*(1+N($G20))^IF(AND(ISNUMBER($H20),L$10&gt;=$H20),1+INT(DATEDIF($H20,L$10,"m")/12),0),0))</f>
        <v>7106.66666666667</v>
      </c>
      <c r="M20" s="323" t="n">
        <f aca="false">IF(OR($D20="",$E20="",NOT(ISNUMBER($D20))),"",IF(AND($E20&lt;=M$10,IF($F20="",$X$10,$F20)&gt;=M$10),$D20/12*(1+N($G20))^IF(AND(ISNUMBER($H20),M$10&gt;=$H20),1+INT(DATEDIF($H20,M$10,"m")/12),0),0))</f>
        <v>7106.66666666667</v>
      </c>
      <c r="N20" s="323" t="n">
        <f aca="false">IF(OR($D20="",$E20="",NOT(ISNUMBER($D20))),"",IF(AND($E20&lt;=N$10,IF($F20="",$X$10,$F20)&gt;=N$10),$D20/12*(1+N($G20))^IF(AND(ISNUMBER($H20),N$10&gt;=$H20),1+INT(DATEDIF($H20,N$10,"m")/12),0),0))</f>
        <v>7106.66666666667</v>
      </c>
      <c r="O20" s="323" t="n">
        <f aca="false">IF(OR($D20="",$E20="",NOT(ISNUMBER($D20))),"",IF(AND($E20&lt;=O$10,IF($F20="",$X$10,$F20)&gt;=O$10),$D20/12*(1+N($G20))^IF(AND(ISNUMBER($H20),O$10&gt;=$H20),1+INT(DATEDIF($H20,O$10,"m")/12),0),0))</f>
        <v>7106.66666666667</v>
      </c>
      <c r="P20" s="323" t="n">
        <f aca="false">IF(OR($D20="",$E20="",NOT(ISNUMBER($D20))),"",IF(AND($E20&lt;=P$10,IF($F20="",$X$10,$F20)&gt;=P$10),$D20/12*(1+N($G20))^IF(AND(ISNUMBER($H20),P$10&gt;=$H20),1+INT(DATEDIF($H20,P$10,"m")/12),0),0))</f>
        <v>7106.66666666667</v>
      </c>
      <c r="Q20" s="323" t="n">
        <f aca="false">IF(OR($D20="",$E20="",NOT(ISNUMBER($D20))),"",IF(AND($E20&lt;=Q$10,IF($F20="",$X$10,$F20)&gt;=Q$10),$D20/12*(1+N($G20))^IF(AND(ISNUMBER($H20),Q$10&gt;=$H20),1+INT(DATEDIF($H20,Q$10,"m")/12),0),0))</f>
        <v>7106.66666666667</v>
      </c>
      <c r="R20" s="323" t="n">
        <f aca="false">IF(OR($D20="",$E20="",NOT(ISNUMBER($D20))),"",IF(AND($E20&lt;=R$10,IF($F20="",$X$10,$F20)&gt;=R$10),$D20/12*(1+N($G20))^IF(AND(ISNUMBER($H20),R$10&gt;=$H20),1+INT(DATEDIF($H20,R$10,"m")/12),0),0))</f>
        <v>7106.66666666667</v>
      </c>
      <c r="S20" s="323" t="n">
        <f aca="false">IF(OR($D20="",$E20="",NOT(ISNUMBER($D20))),"",IF(AND($E20&lt;=S$10,IF($F20="",$X$10,$F20)&gt;=S$10),$D20/12*(1+N($G20))^IF(AND(ISNUMBER($H20),S$10&gt;=$H20),1+INT(DATEDIF($H20,S$10,"m")/12),0),0))</f>
        <v>7106.66666666667</v>
      </c>
      <c r="T20" s="323" t="n">
        <f aca="false">IF(OR($D20="",$E20="",NOT(ISNUMBER($D20))),"",IF(AND($E20&lt;=T$10,IF($F20="",$X$10,$F20)&gt;=T$10),$D20/12*(1+N($G20))^IF(AND(ISNUMBER($H20),T$10&gt;=$H20),1+INT(DATEDIF($H20,T$10,"m")/12),0),0))</f>
        <v>7106.66666666667</v>
      </c>
      <c r="U20" s="323" t="n">
        <f aca="false">IF(OR($D20="",$E20="",NOT(ISNUMBER($D20))),"",IF(AND($E20&lt;=U$10,IF($F20="",$X$10,$F20)&gt;=U$10),$D20/12*(1+N($G20))^IF(AND(ISNUMBER($H20),U$10&gt;=$H20),1+INT(DATEDIF($H20,U$10,"m")/12),0),0))</f>
        <v>7106.66666666667</v>
      </c>
      <c r="V20" s="323" t="n">
        <f aca="false">IF(OR($D20="",$E20="",NOT(ISNUMBER($D20))),"",IF(AND($E20&lt;=V$10,IF($F20="",$X$10,$F20)&gt;=V$10),$D20/12*(1+N($G20))^IF(AND(ISNUMBER($H20),V$10&gt;=$H20),1+INT(DATEDIF($H20,V$10,"m")/12),0),0))</f>
        <v>7319.86666666667</v>
      </c>
      <c r="W20" s="323" t="n">
        <f aca="false">IF(OR($D20="",$E20="",NOT(ISNUMBER($D20))),"",IF(AND($E20&lt;=W$10,IF($F20="",$X$10,$F20)&gt;=W$10),$D20/12*(1+N($G20))^IF(AND(ISNUMBER($H20),W$10&gt;=$H20),1+INT(DATEDIF($H20,W$10,"m")/12),0),0))</f>
        <v>7319.86666666667</v>
      </c>
      <c r="X20" s="323" t="n">
        <f aca="false">IF(OR($D20="",$E20="",NOT(ISNUMBER($D20))),"",IF(AND($E20&lt;=X$10,IF($F20="",$X$10,$F20)&gt;=X$10),$D20/12*(1+N($G20))^IF(AND(ISNUMBER($H20),X$10&gt;=$H20),1+INT(DATEDIF($H20,X$10,"m")/12),0),0))</f>
        <v>7319.86666666667</v>
      </c>
      <c r="Y20" s="323"/>
      <c r="Z20" s="323" t="n">
        <f aca="false">SUM(M20:X20)</f>
        <v>85919.6</v>
      </c>
      <c r="AB20" s="325" t="str">
        <f aca="false">IF($D20&amp;$E20="","",IF(AND($D20&lt;&gt;"",NOT(ISNUMBER($D20))),"Salary must be a number",IF(AND($D20&lt;&gt;"",$E20=""),"Start month missing",IF(AND(ISNUMBER($E20),ISNUMBER($F20),$F20&lt;$E20),"End is before Start",IF(AND($D20&lt;&gt;"",NOT(ISNUMBER($H20))),"Increase month missing","")))))</f>
        <v/>
      </c>
    </row>
    <row r="21" customFormat="false" ht="14.4" hidden="false" customHeight="false" outlineLevel="0" collapsed="false">
      <c r="B21" s="318" t="s">
        <v>3139</v>
      </c>
      <c r="C21" s="318" t="s">
        <v>3140</v>
      </c>
      <c r="D21" s="319" t="n">
        <v>100000</v>
      </c>
      <c r="E21" s="320" t="n">
        <v>46266</v>
      </c>
      <c r="F21" s="320" t="n">
        <v>46722</v>
      </c>
      <c r="G21" s="321" t="n">
        <v>0.03</v>
      </c>
      <c r="H21" s="322" t="n">
        <f aca="false">$D$8</f>
        <v>46661</v>
      </c>
      <c r="I21" s="323" t="n">
        <f aca="false">IF(OR($D21="",$E21="",NOT(ISNUMBER($D21))),"",IF(AND($E21&lt;=I$10,IF($F21="",$X$10,$F21)&gt;=I$10),$D21/12*(1+N($G21))^IF(AND(ISNUMBER($H21),I$10&gt;=$H21),1+INT(DATEDIF($H21,I$10,"m")/12),0),0))</f>
        <v>8333.33333333333</v>
      </c>
      <c r="J21" s="323" t="n">
        <f aca="false">IF(OR($D21="",$E21="",NOT(ISNUMBER($D21))),"",IF(AND($E21&lt;=J$10,IF($F21="",$X$10,$F21)&gt;=J$10),$D21/12*(1+N($G21))^IF(AND(ISNUMBER($H21),J$10&gt;=$H21),1+INT(DATEDIF($H21,J$10,"m")/12),0),0))</f>
        <v>8333.33333333333</v>
      </c>
      <c r="K21" s="323" t="n">
        <f aca="false">IF(OR($D21="",$E21="",NOT(ISNUMBER($D21))),"",IF(AND($E21&lt;=K$10,IF($F21="",$X$10,$F21)&gt;=K$10),$D21/12*(1+N($G21))^IF(AND(ISNUMBER($H21),K$10&gt;=$H21),1+INT(DATEDIF($H21,K$10,"m")/12),0),0))</f>
        <v>8333.33333333333</v>
      </c>
      <c r="L21" s="323" t="n">
        <f aca="false">IF(OR($D21="",$E21="",NOT(ISNUMBER($D21))),"",IF(AND($E21&lt;=L$10,IF($F21="",$X$10,$F21)&gt;=L$10),$D21/12*(1+N($G21))^IF(AND(ISNUMBER($H21),L$10&gt;=$H21),1+INT(DATEDIF($H21,L$10,"m")/12),0),0))</f>
        <v>8333.33333333333</v>
      </c>
      <c r="M21" s="323" t="n">
        <f aca="false">IF(OR($D21="",$E21="",NOT(ISNUMBER($D21))),"",IF(AND($E21&lt;=M$10,IF($F21="",$X$10,$F21)&gt;=M$10),$D21/12*(1+N($G21))^IF(AND(ISNUMBER($H21),M$10&gt;=$H21),1+INT(DATEDIF($H21,M$10,"m")/12),0),0))</f>
        <v>8333.33333333333</v>
      </c>
      <c r="N21" s="323" t="n">
        <f aca="false">IF(OR($D21="",$E21="",NOT(ISNUMBER($D21))),"",IF(AND($E21&lt;=N$10,IF($F21="",$X$10,$F21)&gt;=N$10),$D21/12*(1+N($G21))^IF(AND(ISNUMBER($H21),N$10&gt;=$H21),1+INT(DATEDIF($H21,N$10,"m")/12),0),0))</f>
        <v>8333.33333333333</v>
      </c>
      <c r="O21" s="323" t="n">
        <f aca="false">IF(OR($D21="",$E21="",NOT(ISNUMBER($D21))),"",IF(AND($E21&lt;=O$10,IF($F21="",$X$10,$F21)&gt;=O$10),$D21/12*(1+N($G21))^IF(AND(ISNUMBER($H21),O$10&gt;=$H21),1+INT(DATEDIF($H21,O$10,"m")/12),0),0))</f>
        <v>8333.33333333333</v>
      </c>
      <c r="P21" s="323" t="n">
        <f aca="false">IF(OR($D21="",$E21="",NOT(ISNUMBER($D21))),"",IF(AND($E21&lt;=P$10,IF($F21="",$X$10,$F21)&gt;=P$10),$D21/12*(1+N($G21))^IF(AND(ISNUMBER($H21),P$10&gt;=$H21),1+INT(DATEDIF($H21,P$10,"m")/12),0),0))</f>
        <v>8333.33333333333</v>
      </c>
      <c r="Q21" s="323" t="n">
        <f aca="false">IF(OR($D21="",$E21="",NOT(ISNUMBER($D21))),"",IF(AND($E21&lt;=Q$10,IF($F21="",$X$10,$F21)&gt;=Q$10),$D21/12*(1+N($G21))^IF(AND(ISNUMBER($H21),Q$10&gt;=$H21),1+INT(DATEDIF($H21,Q$10,"m")/12),0),0))</f>
        <v>8333.33333333333</v>
      </c>
      <c r="R21" s="323" t="n">
        <f aca="false">IF(OR($D21="",$E21="",NOT(ISNUMBER($D21))),"",IF(AND($E21&lt;=R$10,IF($F21="",$X$10,$F21)&gt;=R$10),$D21/12*(1+N($G21))^IF(AND(ISNUMBER($H21),R$10&gt;=$H21),1+INT(DATEDIF($H21,R$10,"m")/12),0),0))</f>
        <v>8333.33333333333</v>
      </c>
      <c r="S21" s="323" t="n">
        <f aca="false">IF(OR($D21="",$E21="",NOT(ISNUMBER($D21))),"",IF(AND($E21&lt;=S$10,IF($F21="",$X$10,$F21)&gt;=S$10),$D21/12*(1+N($G21))^IF(AND(ISNUMBER($H21),S$10&gt;=$H21),1+INT(DATEDIF($H21,S$10,"m")/12),0),0))</f>
        <v>8333.33333333333</v>
      </c>
      <c r="T21" s="323" t="n">
        <f aca="false">IF(OR($D21="",$E21="",NOT(ISNUMBER($D21))),"",IF(AND($E21&lt;=T$10,IF($F21="",$X$10,$F21)&gt;=T$10),$D21/12*(1+N($G21))^IF(AND(ISNUMBER($H21),T$10&gt;=$H21),1+INT(DATEDIF($H21,T$10,"m")/12),0),0))</f>
        <v>8333.33333333333</v>
      </c>
      <c r="U21" s="323" t="n">
        <f aca="false">IF(OR($D21="",$E21="",NOT(ISNUMBER($D21))),"",IF(AND($E21&lt;=U$10,IF($F21="",$X$10,$F21)&gt;=U$10),$D21/12*(1+N($G21))^IF(AND(ISNUMBER($H21),U$10&gt;=$H21),1+INT(DATEDIF($H21,U$10,"m")/12),0),0))</f>
        <v>8333.33333333333</v>
      </c>
      <c r="V21" s="323" t="n">
        <f aca="false">IF(OR($D21="",$E21="",NOT(ISNUMBER($D21))),"",IF(AND($E21&lt;=V$10,IF($F21="",$X$10,$F21)&gt;=V$10),$D21/12*(1+N($G21))^IF(AND(ISNUMBER($H21),V$10&gt;=$H21),1+INT(DATEDIF($H21,V$10,"m")/12),0),0))</f>
        <v>8583.33333333333</v>
      </c>
      <c r="W21" s="323" t="n">
        <f aca="false">IF(OR($D21="",$E21="",NOT(ISNUMBER($D21))),"",IF(AND($E21&lt;=W$10,IF($F21="",$X$10,$F21)&gt;=W$10),$D21/12*(1+N($G21))^IF(AND(ISNUMBER($H21),W$10&gt;=$H21),1+INT(DATEDIF($H21,W$10,"m")/12),0),0))</f>
        <v>8583.33333333333</v>
      </c>
      <c r="X21" s="323" t="n">
        <f aca="false">IF(OR($D21="",$E21="",NOT(ISNUMBER($D21))),"",IF(AND($E21&lt;=X$10,IF($F21="",$X$10,$F21)&gt;=X$10),$D21/12*(1+N($G21))^IF(AND(ISNUMBER($H21),X$10&gt;=$H21),1+INT(DATEDIF($H21,X$10,"m")/12),0),0))</f>
        <v>8583.33333333333</v>
      </c>
      <c r="Y21" s="323"/>
      <c r="Z21" s="323" t="n">
        <f aca="false">SUM(M21:X21)</f>
        <v>100750</v>
      </c>
      <c r="AB21" s="325" t="str">
        <f aca="false">IF($D21&amp;$E21="","",IF(AND($D21&lt;&gt;"",NOT(ISNUMBER($D21))),"Salary must be a number",IF(AND($D21&lt;&gt;"",$E21=""),"Start month missing",IF(AND(ISNUMBER($E21),ISNUMBER($F21),$F21&lt;$E21),"End is before Start",IF(AND($D21&lt;&gt;"",NOT(ISNUMBER($H21))),"Increase month missing","")))))</f>
        <v/>
      </c>
    </row>
    <row r="22" customFormat="false" ht="14.4" hidden="false" customHeight="false" outlineLevel="0" collapsed="false">
      <c r="A22" s="288" t="s">
        <v>3141</v>
      </c>
      <c r="B22" s="318" t="s">
        <v>3142</v>
      </c>
      <c r="C22" s="318" t="s">
        <v>3143</v>
      </c>
      <c r="D22" s="319" t="n">
        <v>225000</v>
      </c>
      <c r="E22" s="320" t="n">
        <v>46266</v>
      </c>
      <c r="F22" s="320" t="n">
        <v>46722</v>
      </c>
      <c r="G22" s="321" t="n">
        <v>0.03</v>
      </c>
      <c r="H22" s="322" t="n">
        <f aca="false">$D$8</f>
        <v>46661</v>
      </c>
      <c r="I22" s="323" t="n">
        <f aca="false">IF(OR($D22="",$E22="",NOT(ISNUMBER($D22))),"",IF(AND($E22&lt;=I$10,IF($F22="",$X$10,$F22)&gt;=I$10),$D22/12*(1+N($G22))^IF(AND(ISNUMBER($H22),I$10&gt;=$H22),1+INT(DATEDIF($H22,I$10,"m")/12),0),0))</f>
        <v>18750</v>
      </c>
      <c r="J22" s="323" t="n">
        <f aca="false">IF(OR($D22="",$E22="",NOT(ISNUMBER($D22))),"",IF(AND($E22&lt;=J$10,IF($F22="",$X$10,$F22)&gt;=J$10),$D22/12*(1+N($G22))^IF(AND(ISNUMBER($H22),J$10&gt;=$H22),1+INT(DATEDIF($H22,J$10,"m")/12),0),0))</f>
        <v>18750</v>
      </c>
      <c r="K22" s="323" t="n">
        <f aca="false">IF(OR($D22="",$E22="",NOT(ISNUMBER($D22))),"",IF(AND($E22&lt;=K$10,IF($F22="",$X$10,$F22)&gt;=K$10),$D22/12*(1+N($G22))^IF(AND(ISNUMBER($H22),K$10&gt;=$H22),1+INT(DATEDIF($H22,K$10,"m")/12),0),0))</f>
        <v>18750</v>
      </c>
      <c r="L22" s="323" t="n">
        <f aca="false">IF(OR($D22="",$E22="",NOT(ISNUMBER($D22))),"",IF(AND($E22&lt;=L$10,IF($F22="",$X$10,$F22)&gt;=L$10),$D22/12*(1+N($G22))^IF(AND(ISNUMBER($H22),L$10&gt;=$H22),1+INT(DATEDIF($H22,L$10,"m")/12),0),0))</f>
        <v>18750</v>
      </c>
      <c r="M22" s="323" t="n">
        <f aca="false">IF(OR($D22="",$E22="",NOT(ISNUMBER($D22))),"",IF(AND($E22&lt;=M$10,IF($F22="",$X$10,$F22)&gt;=M$10),$D22/12*(1+N($G22))^IF(AND(ISNUMBER($H22),M$10&gt;=$H22),1+INT(DATEDIF($H22,M$10,"m")/12),0),0))</f>
        <v>18750</v>
      </c>
      <c r="N22" s="323" t="n">
        <f aca="false">IF(OR($D22="",$E22="",NOT(ISNUMBER($D22))),"",IF(AND($E22&lt;=N$10,IF($F22="",$X$10,$F22)&gt;=N$10),$D22/12*(1+N($G22))^IF(AND(ISNUMBER($H22),N$10&gt;=$H22),1+INT(DATEDIF($H22,N$10,"m")/12),0),0))</f>
        <v>18750</v>
      </c>
      <c r="O22" s="323" t="n">
        <f aca="false">IF(OR($D22="",$E22="",NOT(ISNUMBER($D22))),"",IF(AND($E22&lt;=O$10,IF($F22="",$X$10,$F22)&gt;=O$10),$D22/12*(1+N($G22))^IF(AND(ISNUMBER($H22),O$10&gt;=$H22),1+INT(DATEDIF($H22,O$10,"m")/12),0),0))</f>
        <v>18750</v>
      </c>
      <c r="P22" s="323" t="n">
        <f aca="false">IF(OR($D22="",$E22="",NOT(ISNUMBER($D22))),"",IF(AND($E22&lt;=P$10,IF($F22="",$X$10,$F22)&gt;=P$10),$D22/12*(1+N($G22))^IF(AND(ISNUMBER($H22),P$10&gt;=$H22),1+INT(DATEDIF($H22,P$10,"m")/12),0),0))</f>
        <v>18750</v>
      </c>
      <c r="Q22" s="323" t="n">
        <f aca="false">IF(OR($D22="",$E22="",NOT(ISNUMBER($D22))),"",IF(AND($E22&lt;=Q$10,IF($F22="",$X$10,$F22)&gt;=Q$10),$D22/12*(1+N($G22))^IF(AND(ISNUMBER($H22),Q$10&gt;=$H22),1+INT(DATEDIF($H22,Q$10,"m")/12),0),0))</f>
        <v>18750</v>
      </c>
      <c r="R22" s="323" t="n">
        <f aca="false">IF(OR($D22="",$E22="",NOT(ISNUMBER($D22))),"",IF(AND($E22&lt;=R$10,IF($F22="",$X$10,$F22)&gt;=R$10),$D22/12*(1+N($G22))^IF(AND(ISNUMBER($H22),R$10&gt;=$H22),1+INT(DATEDIF($H22,R$10,"m")/12),0),0))</f>
        <v>18750</v>
      </c>
      <c r="S22" s="323" t="n">
        <f aca="false">IF(OR($D22="",$E22="",NOT(ISNUMBER($D22))),"",IF(AND($E22&lt;=S$10,IF($F22="",$X$10,$F22)&gt;=S$10),$D22/12*(1+N($G22))^IF(AND(ISNUMBER($H22),S$10&gt;=$H22),1+INT(DATEDIF($H22,S$10,"m")/12),0),0))</f>
        <v>18750</v>
      </c>
      <c r="T22" s="323" t="n">
        <f aca="false">IF(OR($D22="",$E22="",NOT(ISNUMBER($D22))),"",IF(AND($E22&lt;=T$10,IF($F22="",$X$10,$F22)&gt;=T$10),$D22/12*(1+N($G22))^IF(AND(ISNUMBER($H22),T$10&gt;=$H22),1+INT(DATEDIF($H22,T$10,"m")/12),0),0))</f>
        <v>18750</v>
      </c>
      <c r="U22" s="323" t="n">
        <f aca="false">IF(OR($D22="",$E22="",NOT(ISNUMBER($D22))),"",IF(AND($E22&lt;=U$10,IF($F22="",$X$10,$F22)&gt;=U$10),$D22/12*(1+N($G22))^IF(AND(ISNUMBER($H22),U$10&gt;=$H22),1+INT(DATEDIF($H22,U$10,"m")/12),0),0))</f>
        <v>18750</v>
      </c>
      <c r="V22" s="323" t="n">
        <f aca="false">IF(OR($D22="",$E22="",NOT(ISNUMBER($D22))),"",IF(AND($E22&lt;=V$10,IF($F22="",$X$10,$F22)&gt;=V$10),$D22/12*(1+N($G22))^IF(AND(ISNUMBER($H22),V$10&gt;=$H22),1+INT(DATEDIF($H22,V$10,"m")/12),0),0))</f>
        <v>19312.5</v>
      </c>
      <c r="W22" s="323" t="n">
        <f aca="false">IF(OR($D22="",$E22="",NOT(ISNUMBER($D22))),"",IF(AND($E22&lt;=W$10,IF($F22="",$X$10,$F22)&gt;=W$10),$D22/12*(1+N($G22))^IF(AND(ISNUMBER($H22),W$10&gt;=$H22),1+INT(DATEDIF($H22,W$10,"m")/12),0),0))</f>
        <v>19312.5</v>
      </c>
      <c r="X22" s="323" t="n">
        <f aca="false">IF(OR($D22="",$E22="",NOT(ISNUMBER($D22))),"",IF(AND($E22&lt;=X$10,IF($F22="",$X$10,$F22)&gt;=X$10),$D22/12*(1+N($G22))^IF(AND(ISNUMBER($H22),X$10&gt;=$H22),1+INT(DATEDIF($H22,X$10,"m")/12),0),0))</f>
        <v>19312.5</v>
      </c>
      <c r="Y22" s="323"/>
      <c r="Z22" s="323" t="n">
        <f aca="false">SUM(M22:X22)</f>
        <v>226687.5</v>
      </c>
      <c r="AB22" s="325" t="str">
        <f aca="false">IF($D22&amp;$E22="","",IF(AND($D22&lt;&gt;"",NOT(ISNUMBER($D22))),"Salary must be a number",IF(AND($D22&lt;&gt;"",$E22=""),"Start month missing",IF(AND(ISNUMBER($E22),ISNUMBER($F22),$F22&lt;$E22),"End is before Start",IF(AND($D22&lt;&gt;"",NOT(ISNUMBER($H22))),"Increase month missing","")))))</f>
        <v/>
      </c>
    </row>
    <row r="23" customFormat="false" ht="14.4" hidden="false" customHeight="fals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4" hidden="false" customHeight="fals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4" hidden="false" customHeight="fals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4" hidden="false" customHeight="fals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4" hidden="false" customHeight="fals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4" hidden="false" customHeight="fals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4" hidden="false" customHeight="fals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4" hidden="false" customHeight="fals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4" hidden="false" customHeight="fals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4" hidden="false" customHeight="fals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4" hidden="false" customHeight="fals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4" hidden="false" customHeight="false" outlineLevel="0" collapsed="false">
      <c r="B34" s="317" t="s">
        <v>3067</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4" hidden="false" customHeight="fals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4" hidden="false" customHeight="fals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4" hidden="false" customHeight="fals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4" hidden="false" customHeight="fals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4" hidden="false" customHeight="fals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4" hidden="false" customHeight="false" outlineLevel="0" collapsed="false">
      <c r="B40" s="317" t="s">
        <v>3068</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4" hidden="false" customHeight="false" outlineLevel="0" collapsed="false">
      <c r="B41" s="318"/>
      <c r="C41" s="318"/>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4" hidden="false" customHeight="fals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4" hidden="false" customHeight="fals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4" hidden="false" customHeight="fals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4" hidden="false" customHeight="fals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4" hidden="false" customHeight="fals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4" hidden="false" customHeight="fals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4" hidden="false" customHeight="fals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4" hidden="false" customHeight="fals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4" hidden="false" customHeight="fals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4" hidden="false" customHeight="false" outlineLevel="0" collapsed="false">
      <c r="A51" s="328" t="s">
        <v>3069</v>
      </c>
      <c r="B51" s="317" t="s">
        <v>3070</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4" hidden="false" customHeight="fals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4" hidden="false" customHeight="fals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4" hidden="false" customHeight="fals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4" hidden="false" customHeight="fals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4" hidden="false" customHeight="fals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4" hidden="false" customHeight="fals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4" hidden="false" customHeight="false" outlineLevel="0" collapsed="false">
      <c r="A58" s="328" t="s">
        <v>3071</v>
      </c>
      <c r="B58" s="317" t="s">
        <v>3072</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4" hidden="false" customHeight="fals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4" hidden="false" customHeight="fals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4" hidden="false" customHeight="fals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4" hidden="false" customHeight="fals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4" hidden="false" customHeight="fals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4" hidden="false" customHeight="fals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4" hidden="false" customHeight="fals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4" hidden="false" customHeight="fals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4" hidden="false" customHeight="false" outlineLevel="0" collapsed="false">
      <c r="B67" s="342" t="s">
        <v>3073</v>
      </c>
      <c r="C67" s="342"/>
      <c r="D67" s="343"/>
      <c r="E67" s="344"/>
      <c r="F67" s="344"/>
      <c r="G67" s="344"/>
      <c r="H67" s="344"/>
      <c r="I67" s="345" t="n">
        <f aca="false">SUM(I14:I57)</f>
        <v>89166.25</v>
      </c>
      <c r="J67" s="345" t="n">
        <f aca="false">SUM(J14:J57)</f>
        <v>89166.25</v>
      </c>
      <c r="K67" s="345" t="n">
        <f aca="false">SUM(K14:K57)</f>
        <v>89166.25</v>
      </c>
      <c r="L67" s="345" t="n">
        <f aca="false">SUM(L14:L57)</f>
        <v>89166.25</v>
      </c>
      <c r="M67" s="345" t="n">
        <f aca="false">SUM(M14:M57)</f>
        <v>89166.25</v>
      </c>
      <c r="N67" s="345" t="n">
        <f aca="false">SUM(N14:N57)</f>
        <v>89166.25</v>
      </c>
      <c r="O67" s="345" t="n">
        <f aca="false">SUM(O14:O57)</f>
        <v>89166.25</v>
      </c>
      <c r="P67" s="345" t="n">
        <f aca="false">SUM(P14:P57)</f>
        <v>89166.25</v>
      </c>
      <c r="Q67" s="345" t="n">
        <f aca="false">SUM(Q14:Q57)</f>
        <v>89166.25</v>
      </c>
      <c r="R67" s="345" t="n">
        <f aca="false">SUM(R14:R57)</f>
        <v>89166.25</v>
      </c>
      <c r="S67" s="345" t="n">
        <f aca="false">SUM(S14:S57)</f>
        <v>89166.25</v>
      </c>
      <c r="T67" s="345" t="n">
        <f aca="false">SUM(T14:T57)</f>
        <v>89166.25</v>
      </c>
      <c r="U67" s="345" t="n">
        <f aca="false">SUM(U14:U57)</f>
        <v>89166.25</v>
      </c>
      <c r="V67" s="345" t="n">
        <f aca="false">SUM(V14:V57)</f>
        <v>91841.2375</v>
      </c>
      <c r="W67" s="345" t="n">
        <f aca="false">SUM(W14:W57)</f>
        <v>91841.2375</v>
      </c>
      <c r="X67" s="345" t="n">
        <f aca="false">SUM(X14:X57)</f>
        <v>91841.2375</v>
      </c>
      <c r="Y67" s="346"/>
      <c r="Z67" s="345" t="n">
        <f aca="false">SUM(M67:X67)</f>
        <v>1078019.9625</v>
      </c>
    </row>
    <row r="68" customFormat="false" ht="14.4" hidden="false" customHeight="false" outlineLevel="0" collapsed="false">
      <c r="B68" s="342" t="s">
        <v>2288</v>
      </c>
      <c r="C68" s="342"/>
      <c r="D68" s="343"/>
      <c r="E68" s="344"/>
      <c r="F68" s="344"/>
      <c r="G68" s="344"/>
      <c r="H68" s="344"/>
      <c r="I68" s="345" t="n">
        <f aca="false">I67*$D$6</f>
        <v>3184.54248759661</v>
      </c>
      <c r="J68" s="345" t="n">
        <f aca="false">J67*$D$6</f>
        <v>3184.54248759661</v>
      </c>
      <c r="K68" s="345" t="n">
        <f aca="false">K67*$D$6</f>
        <v>3184.54248759661</v>
      </c>
      <c r="L68" s="345" t="n">
        <f aca="false">L67*$D$6</f>
        <v>3184.54248759661</v>
      </c>
      <c r="M68" s="345" t="n">
        <f aca="false">M67*$D$6</f>
        <v>3184.54248759661</v>
      </c>
      <c r="N68" s="345" t="n">
        <f aca="false">N67*$D$6</f>
        <v>3184.54248759661</v>
      </c>
      <c r="O68" s="345" t="n">
        <f aca="false">O67*$D$6</f>
        <v>3184.54248759661</v>
      </c>
      <c r="P68" s="345" t="n">
        <f aca="false">P67*$D$6</f>
        <v>3184.54248759661</v>
      </c>
      <c r="Q68" s="345" t="n">
        <f aca="false">Q67*$D$6</f>
        <v>3184.54248759661</v>
      </c>
      <c r="R68" s="345" t="n">
        <f aca="false">R67*$D$6</f>
        <v>3184.54248759661</v>
      </c>
      <c r="S68" s="345" t="n">
        <f aca="false">S67*$D$6</f>
        <v>3184.54248759661</v>
      </c>
      <c r="T68" s="345" t="n">
        <f aca="false">T67*$D$6</f>
        <v>3184.54248759661</v>
      </c>
      <c r="U68" s="345" t="n">
        <f aca="false">U67*$D$6</f>
        <v>3184.54248759661</v>
      </c>
      <c r="V68" s="345" t="n">
        <f aca="false">V67*$D$6</f>
        <v>3280.0787622245</v>
      </c>
      <c r="W68" s="345" t="n">
        <f aca="false">W67*$D$6</f>
        <v>3280.0787622245</v>
      </c>
      <c r="X68" s="345" t="n">
        <f aca="false">X67*$D$6</f>
        <v>3280.0787622245</v>
      </c>
      <c r="Y68" s="346"/>
      <c r="Z68" s="345" t="n">
        <f aca="false">SUM(M68:X68)</f>
        <v>38501.118675043</v>
      </c>
    </row>
    <row r="69" customFormat="false" ht="14.4" hidden="false" customHeight="false" outlineLevel="0" collapsed="false">
      <c r="B69" s="342" t="s">
        <v>2289</v>
      </c>
      <c r="C69" s="342"/>
      <c r="D69" s="343"/>
      <c r="E69" s="344"/>
      <c r="F69" s="344"/>
      <c r="G69" s="344"/>
      <c r="H69" s="344"/>
      <c r="I69" s="345" t="n">
        <f aca="false">I67*$D$7</f>
        <v>7867.34570925123</v>
      </c>
      <c r="J69" s="345" t="n">
        <f aca="false">J67*$D$7</f>
        <v>7867.34570925123</v>
      </c>
      <c r="K69" s="345" t="n">
        <f aca="false">K67*$D$7</f>
        <v>7867.34570925123</v>
      </c>
      <c r="L69" s="345" t="n">
        <f aca="false">L67*$D$7</f>
        <v>7867.34570925123</v>
      </c>
      <c r="M69" s="345" t="n">
        <f aca="false">M67*$D$7</f>
        <v>7867.34570925123</v>
      </c>
      <c r="N69" s="345" t="n">
        <f aca="false">N67*$D$7</f>
        <v>7867.34570925123</v>
      </c>
      <c r="O69" s="345" t="n">
        <f aca="false">O67*$D$7</f>
        <v>7867.34570925123</v>
      </c>
      <c r="P69" s="345" t="n">
        <f aca="false">P67*$D$7</f>
        <v>7867.34570925123</v>
      </c>
      <c r="Q69" s="345" t="n">
        <f aca="false">Q67*$D$7</f>
        <v>7867.34570925123</v>
      </c>
      <c r="R69" s="345" t="n">
        <f aca="false">R67*$D$7</f>
        <v>7867.34570925123</v>
      </c>
      <c r="S69" s="345" t="n">
        <f aca="false">S67*$D$7</f>
        <v>7867.34570925123</v>
      </c>
      <c r="T69" s="345" t="n">
        <f aca="false">T67*$D$7</f>
        <v>7867.34570925123</v>
      </c>
      <c r="U69" s="345" t="n">
        <f aca="false">U67*$D$7</f>
        <v>7867.34570925123</v>
      </c>
      <c r="V69" s="345" t="n">
        <f aca="false">V67*$D$7</f>
        <v>8103.36608052876</v>
      </c>
      <c r="W69" s="345" t="n">
        <f aca="false">W67*$D$7</f>
        <v>8103.36608052876</v>
      </c>
      <c r="X69" s="345" t="n">
        <f aca="false">X67*$D$7</f>
        <v>8103.36608052876</v>
      </c>
      <c r="Y69" s="346"/>
      <c r="Z69" s="345" t="n">
        <f aca="false">SUM(M69:X69)</f>
        <v>95116.2096248473</v>
      </c>
    </row>
    <row r="70" customFormat="false" ht="14.4" hidden="false" customHeight="false" outlineLevel="0" collapsed="false">
      <c r="B70" s="347" t="s">
        <v>3074</v>
      </c>
      <c r="C70" s="347"/>
      <c r="D70" s="348"/>
      <c r="E70" s="349"/>
      <c r="F70" s="349"/>
      <c r="G70" s="349"/>
      <c r="H70" s="349"/>
      <c r="I70" s="350" t="n">
        <f aca="false">SUM(I67:I69)</f>
        <v>100218.138196848</v>
      </c>
      <c r="J70" s="350" t="n">
        <f aca="false">SUM(J67:J69)</f>
        <v>100218.138196848</v>
      </c>
      <c r="K70" s="350" t="n">
        <f aca="false">SUM(K67:K69)</f>
        <v>100218.138196848</v>
      </c>
      <c r="L70" s="350" t="n">
        <f aca="false">SUM(L67:L69)</f>
        <v>100218.138196848</v>
      </c>
      <c r="M70" s="350" t="n">
        <f aca="false">SUM(M67:M69)</f>
        <v>100218.138196848</v>
      </c>
      <c r="N70" s="350" t="n">
        <f aca="false">SUM(N67:N69)</f>
        <v>100218.138196848</v>
      </c>
      <c r="O70" s="350" t="n">
        <f aca="false">SUM(O67:O69)</f>
        <v>100218.138196848</v>
      </c>
      <c r="P70" s="350" t="n">
        <f aca="false">SUM(P67:P69)</f>
        <v>100218.138196848</v>
      </c>
      <c r="Q70" s="350" t="n">
        <f aca="false">SUM(Q67:Q69)</f>
        <v>100218.138196848</v>
      </c>
      <c r="R70" s="350" t="n">
        <f aca="false">SUM(R67:R69)</f>
        <v>100218.138196848</v>
      </c>
      <c r="S70" s="350" t="n">
        <f aca="false">SUM(S67:S69)</f>
        <v>100218.138196848</v>
      </c>
      <c r="T70" s="350" t="n">
        <f aca="false">SUM(T67:T69)</f>
        <v>100218.138196848</v>
      </c>
      <c r="U70" s="350" t="n">
        <f aca="false">SUM(U67:U69)</f>
        <v>100218.138196848</v>
      </c>
      <c r="V70" s="350" t="n">
        <f aca="false">SUM(V67:V69)</f>
        <v>103224.682342753</v>
      </c>
      <c r="W70" s="350" t="n">
        <f aca="false">SUM(W67:W69)</f>
        <v>103224.682342753</v>
      </c>
      <c r="X70" s="350" t="n">
        <f aca="false">SUM(X67:X69)</f>
        <v>103224.682342753</v>
      </c>
      <c r="Y70" s="346"/>
      <c r="Z70" s="350" t="n">
        <f aca="false">SUM(M70:X70)</f>
        <v>1211637.29079989</v>
      </c>
    </row>
    <row r="71" customFormat="false" ht="14.4" hidden="false" customHeight="fals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350E"/>
    <pageSetUpPr fitToPage="false"/>
  </sheetPr>
  <dimension ref="A1:Z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4" ySplit="10" topLeftCell="E11" activePane="bottomRight" state="frozen"/>
      <selection pane="topLeft" activeCell="A1" activeCellId="0" sqref="A1"/>
      <selection pane="topRight" activeCell="E1" activeCellId="0" sqref="E1"/>
      <selection pane="bottomLeft" activeCell="A11" activeCellId="0" sqref="A11"/>
      <selection pane="bottomRight" activeCell="B6" activeCellId="0" sqref="B6"/>
    </sheetView>
  </sheetViews>
  <sheetFormatPr defaultColWidth="8.6796875" defaultRowHeight="14.4" zeroHeight="false" outlineLevelRow="0" outlineLevelCol="0"/>
  <cols>
    <col collapsed="false" customWidth="true" hidden="false" outlineLevel="0" max="2" min="2" style="0" width="25.11"/>
    <col collapsed="false" customWidth="true" hidden="false" outlineLevel="0" max="3" min="3" style="0" width="32.56"/>
    <col collapsed="false" customWidth="true" hidden="false" outlineLevel="0" max="4" min="4" style="0" width="9.11"/>
    <col collapsed="false" customWidth="true" hidden="false" outlineLevel="0" max="8" min="5" style="0" width="2.22"/>
    <col collapsed="false" customWidth="true" hidden="false" outlineLevel="0" max="24" min="9" style="0" width="12.77"/>
    <col collapsed="false" customWidth="true" hidden="false" outlineLevel="0" max="25" min="25" style="0" width="2.56"/>
    <col collapsed="false" customWidth="true" hidden="false" outlineLevel="0" max="26" min="26" style="0" width="13.77"/>
  </cols>
  <sheetData>
    <row r="1" customFormat="false" ht="17.35" hidden="false" customHeight="false" outlineLevel="0" collapsed="false">
      <c r="A1" s="355" t="s">
        <v>3026</v>
      </c>
    </row>
    <row r="2" customFormat="false" ht="15.6" hidden="false" customHeight="false" outlineLevel="0" collapsed="false">
      <c r="A2" s="356" t="s">
        <v>3144</v>
      </c>
    </row>
    <row r="3" customFormat="false" ht="14.4" hidden="false" customHeight="false" outlineLevel="0" collapsed="false">
      <c r="A3" s="357" t="s">
        <v>3145</v>
      </c>
    </row>
    <row r="10" customFormat="false" ht="14.4" hidden="false" customHeight="false" outlineLevel="0" collapsed="false">
      <c r="B10" s="358" t="s">
        <v>703</v>
      </c>
      <c r="C10" s="358" t="s">
        <v>3146</v>
      </c>
      <c r="D10" s="358" t="s">
        <v>3147</v>
      </c>
      <c r="I10" s="359" t="n">
        <f aca="false">'HC-PO'!I10</f>
        <v>46266</v>
      </c>
      <c r="J10" s="359" t="n">
        <f aca="false">'HC-PO'!J10</f>
        <v>46296</v>
      </c>
      <c r="K10" s="359" t="n">
        <f aca="false">'HC-PO'!K10</f>
        <v>46327</v>
      </c>
      <c r="L10" s="359" t="n">
        <f aca="false">'HC-PO'!L10</f>
        <v>46357</v>
      </c>
      <c r="M10" s="360" t="n">
        <f aca="false">'HC-PO'!M10</f>
        <v>46388</v>
      </c>
      <c r="N10" s="360" t="n">
        <f aca="false">'HC-PO'!N10</f>
        <v>46419</v>
      </c>
      <c r="O10" s="360" t="n">
        <f aca="false">'HC-PO'!O10</f>
        <v>46447</v>
      </c>
      <c r="P10" s="360" t="n">
        <f aca="false">'HC-PO'!P10</f>
        <v>46478</v>
      </c>
      <c r="Q10" s="360" t="n">
        <f aca="false">'HC-PO'!Q10</f>
        <v>46508</v>
      </c>
      <c r="R10" s="360" t="n">
        <f aca="false">'HC-PO'!R10</f>
        <v>46539</v>
      </c>
      <c r="S10" s="360" t="n">
        <f aca="false">'HC-PO'!S10</f>
        <v>46569</v>
      </c>
      <c r="T10" s="360" t="n">
        <f aca="false">'HC-PO'!T10</f>
        <v>46600</v>
      </c>
      <c r="U10" s="360" t="n">
        <f aca="false">'HC-PO'!U10</f>
        <v>46631</v>
      </c>
      <c r="V10" s="360" t="n">
        <f aca="false">'HC-PO'!V10</f>
        <v>46661</v>
      </c>
      <c r="W10" s="360" t="n">
        <f aca="false">'HC-PO'!W10</f>
        <v>46692</v>
      </c>
      <c r="X10" s="360" t="n">
        <f aca="false">'HC-PO'!X10</f>
        <v>46722</v>
      </c>
      <c r="Z10" s="361" t="s">
        <v>3043</v>
      </c>
    </row>
    <row r="11" customFormat="false" ht="14.4" hidden="false" customHeight="false" outlineLevel="0" collapsed="false">
      <c r="I11" s="311" t="n">
        <f aca="false">'HC-PO'!I11</f>
        <v>1</v>
      </c>
      <c r="J11" s="311" t="n">
        <f aca="false">'HC-PO'!J11</f>
        <v>2</v>
      </c>
      <c r="K11" s="311" t="n">
        <f aca="false">'HC-PO'!K11</f>
        <v>3</v>
      </c>
      <c r="L11" s="311" t="n">
        <f aca="false">'HC-PO'!L11</f>
        <v>4</v>
      </c>
      <c r="M11" s="311" t="n">
        <f aca="false">'HC-PO'!M11</f>
        <v>5</v>
      </c>
      <c r="N11" s="311" t="n">
        <f aca="false">'HC-PO'!N11</f>
        <v>6</v>
      </c>
      <c r="O11" s="311" t="n">
        <f aca="false">'HC-PO'!O11</f>
        <v>7</v>
      </c>
      <c r="P11" s="311" t="n">
        <f aca="false">'HC-PO'!P11</f>
        <v>8</v>
      </c>
      <c r="Q11" s="311" t="n">
        <f aca="false">'HC-PO'!Q11</f>
        <v>9</v>
      </c>
      <c r="R11" s="311" t="n">
        <f aca="false">'HC-PO'!R11</f>
        <v>10</v>
      </c>
      <c r="S11" s="311" t="n">
        <f aca="false">'HC-PO'!S11</f>
        <v>11</v>
      </c>
      <c r="T11" s="311" t="n">
        <f aca="false">'HC-PO'!T11</f>
        <v>12</v>
      </c>
      <c r="U11" s="311" t="n">
        <f aca="false">'HC-PO'!U11</f>
        <v>13</v>
      </c>
      <c r="V11" s="311" t="n">
        <f aca="false">'HC-PO'!V11</f>
        <v>14</v>
      </c>
      <c r="W11" s="311" t="n">
        <f aca="false">'HC-PO'!W11</f>
        <v>15</v>
      </c>
      <c r="X11" s="311" t="n">
        <f aca="false">'HC-PO'!X11</f>
        <v>16</v>
      </c>
    </row>
    <row r="13" customFormat="false" ht="14.4" hidden="false" customHeight="false" outlineLevel="0" collapsed="false">
      <c r="B13" s="317" t="s">
        <v>3073</v>
      </c>
      <c r="C13" s="317"/>
      <c r="D13" s="317"/>
    </row>
    <row r="14" customFormat="false" ht="14.4" hidden="false" customHeight="false" outlineLevel="0" collapsed="false">
      <c r="B14" s="0" t="s">
        <v>712</v>
      </c>
      <c r="C14" s="0" t="s">
        <v>2298</v>
      </c>
      <c r="D14" s="0" t="s">
        <v>3148</v>
      </c>
      <c r="I14" s="362" t="n">
        <f aca="false">'HC-PO'!I67</f>
        <v>43450</v>
      </c>
      <c r="J14" s="362" t="n">
        <f aca="false">'HC-PO'!J67</f>
        <v>43450</v>
      </c>
      <c r="K14" s="362" t="n">
        <f aca="false">'HC-PO'!K67</f>
        <v>43450</v>
      </c>
      <c r="L14" s="362" t="n">
        <f aca="false">'HC-PO'!L67</f>
        <v>43450</v>
      </c>
      <c r="M14" s="362" t="n">
        <f aca="false">'HC-PO'!M67</f>
        <v>43450</v>
      </c>
      <c r="N14" s="362" t="n">
        <f aca="false">'HC-PO'!N67</f>
        <v>43450</v>
      </c>
      <c r="O14" s="362" t="n">
        <f aca="false">'HC-PO'!O67</f>
        <v>43450</v>
      </c>
      <c r="P14" s="362" t="n">
        <f aca="false">'HC-PO'!P67</f>
        <v>43450</v>
      </c>
      <c r="Q14" s="362" t="n">
        <f aca="false">'HC-PO'!Q67</f>
        <v>43450</v>
      </c>
      <c r="R14" s="362" t="n">
        <f aca="false">'HC-PO'!R67</f>
        <v>43450</v>
      </c>
      <c r="S14" s="362" t="n">
        <f aca="false">'HC-PO'!S67</f>
        <v>43450</v>
      </c>
      <c r="T14" s="362" t="n">
        <f aca="false">'HC-PO'!T67</f>
        <v>43450</v>
      </c>
      <c r="U14" s="362" t="n">
        <f aca="false">'HC-PO'!U67</f>
        <v>43450</v>
      </c>
      <c r="V14" s="362" t="n">
        <f aca="false">'HC-PO'!V67</f>
        <v>44753.5</v>
      </c>
      <c r="W14" s="362" t="n">
        <f aca="false">'HC-PO'!W67</f>
        <v>44753.5</v>
      </c>
      <c r="X14" s="362" t="n">
        <f aca="false">'HC-PO'!X67</f>
        <v>44753.5</v>
      </c>
      <c r="Y14" s="362"/>
      <c r="Z14" s="362" t="n">
        <f aca="false">SUM(M14:X14)</f>
        <v>525310.5</v>
      </c>
    </row>
    <row r="15" customFormat="false" ht="14.4" hidden="false" customHeight="false" outlineLevel="0" collapsed="false">
      <c r="B15" s="0" t="s">
        <v>710</v>
      </c>
      <c r="C15" s="0" t="s">
        <v>2291</v>
      </c>
      <c r="D15" s="0" t="s">
        <v>3148</v>
      </c>
      <c r="I15" s="362" t="n">
        <f aca="false">'HC-FO'!I67</f>
        <v>90012.5833333333</v>
      </c>
      <c r="J15" s="362" t="n">
        <f aca="false">'HC-FO'!J67</f>
        <v>90012.5833333333</v>
      </c>
      <c r="K15" s="362" t="n">
        <f aca="false">'HC-FO'!K67</f>
        <v>90012.5833333333</v>
      </c>
      <c r="L15" s="362" t="n">
        <f aca="false">'HC-FO'!L67</f>
        <v>90012.5833333333</v>
      </c>
      <c r="M15" s="362" t="n">
        <f aca="false">'HC-FO'!M67</f>
        <v>90012.5833333333</v>
      </c>
      <c r="N15" s="362" t="n">
        <f aca="false">'HC-FO'!N67</f>
        <v>90012.5833333333</v>
      </c>
      <c r="O15" s="362" t="n">
        <f aca="false">'HC-FO'!O67</f>
        <v>90012.5833333333</v>
      </c>
      <c r="P15" s="362" t="n">
        <f aca="false">'HC-FO'!P67</f>
        <v>90012.5833333333</v>
      </c>
      <c r="Q15" s="362" t="n">
        <f aca="false">'HC-FO'!Q67</f>
        <v>90012.5833333333</v>
      </c>
      <c r="R15" s="362" t="n">
        <f aca="false">'HC-FO'!R67</f>
        <v>90012.5833333333</v>
      </c>
      <c r="S15" s="362" t="n">
        <f aca="false">'HC-FO'!S67</f>
        <v>90012.5833333333</v>
      </c>
      <c r="T15" s="362" t="n">
        <f aca="false">'HC-FO'!T67</f>
        <v>90012.5833333333</v>
      </c>
      <c r="U15" s="362" t="n">
        <f aca="false">'HC-FO'!U67</f>
        <v>90012.5833333333</v>
      </c>
      <c r="V15" s="362" t="n">
        <f aca="false">'HC-FO'!V67</f>
        <v>92712.9608333333</v>
      </c>
      <c r="W15" s="362" t="n">
        <f aca="false">'HC-FO'!W67</f>
        <v>92712.9608333333</v>
      </c>
      <c r="X15" s="362" t="n">
        <f aca="false">'HC-FO'!X67</f>
        <v>92712.9608333333</v>
      </c>
      <c r="Y15" s="362"/>
      <c r="Z15" s="362" t="n">
        <f aca="false">SUM(M15:X15)</f>
        <v>1088252.1325</v>
      </c>
    </row>
    <row r="16" customFormat="false" ht="14.4" hidden="false" customHeight="false" outlineLevel="0" collapsed="false">
      <c r="B16" s="0" t="s">
        <v>717</v>
      </c>
      <c r="C16" s="0" t="s">
        <v>2321</v>
      </c>
      <c r="D16" s="0" t="s">
        <v>3149</v>
      </c>
      <c r="I16" s="362" t="n">
        <f aca="false">'HC-FE'!I67</f>
        <v>55889.25</v>
      </c>
      <c r="J16" s="362" t="n">
        <f aca="false">'HC-FE'!J67</f>
        <v>55889.25</v>
      </c>
      <c r="K16" s="362" t="n">
        <f aca="false">'HC-FE'!K67</f>
        <v>55889.25</v>
      </c>
      <c r="L16" s="362" t="n">
        <f aca="false">'HC-FE'!L67</f>
        <v>67555.9166666667</v>
      </c>
      <c r="M16" s="362" t="n">
        <f aca="false">'HC-FE'!M67</f>
        <v>67555.9166666667</v>
      </c>
      <c r="N16" s="362" t="n">
        <f aca="false">'HC-FE'!N67</f>
        <v>67555.9166666667</v>
      </c>
      <c r="O16" s="362" t="n">
        <f aca="false">'HC-FE'!O67</f>
        <v>67555.9166666667</v>
      </c>
      <c r="P16" s="362" t="n">
        <f aca="false">'HC-FE'!P67</f>
        <v>67555.9166666667</v>
      </c>
      <c r="Q16" s="362" t="n">
        <f aca="false">'HC-FE'!Q67</f>
        <v>67555.9166666667</v>
      </c>
      <c r="R16" s="362" t="n">
        <f aca="false">'HC-FE'!R67</f>
        <v>67555.9166666667</v>
      </c>
      <c r="S16" s="362" t="n">
        <f aca="false">'HC-FE'!S67</f>
        <v>67555.9166666667</v>
      </c>
      <c r="T16" s="362" t="n">
        <f aca="false">'HC-FE'!T67</f>
        <v>67555.9166666667</v>
      </c>
      <c r="U16" s="362" t="n">
        <f aca="false">'HC-FE'!U67</f>
        <v>67555.9166666667</v>
      </c>
      <c r="V16" s="362" t="n">
        <f aca="false">'HC-FE'!V67</f>
        <v>69582.5941666667</v>
      </c>
      <c r="W16" s="362" t="n">
        <f aca="false">'HC-FE'!W67</f>
        <v>69582.5941666667</v>
      </c>
      <c r="X16" s="362" t="n">
        <f aca="false">'HC-FE'!X67</f>
        <v>69582.5941666667</v>
      </c>
      <c r="Y16" s="362"/>
      <c r="Z16" s="362" t="n">
        <f aca="false">SUM(M16:X16)</f>
        <v>816751.0325</v>
      </c>
    </row>
    <row r="17" customFormat="false" ht="14.4" hidden="false" customHeight="false" outlineLevel="0" collapsed="false">
      <c r="B17" s="0" t="s">
        <v>718</v>
      </c>
      <c r="C17" s="0" t="s">
        <v>2322</v>
      </c>
      <c r="D17" s="0" t="s">
        <v>3149</v>
      </c>
      <c r="I17" s="362" t="n">
        <f aca="false">'HC-PE'!I67</f>
        <v>89166.25</v>
      </c>
      <c r="J17" s="362" t="n">
        <f aca="false">'HC-PE'!J67</f>
        <v>89166.25</v>
      </c>
      <c r="K17" s="362" t="n">
        <f aca="false">'HC-PE'!K67</f>
        <v>89166.25</v>
      </c>
      <c r="L17" s="362" t="n">
        <f aca="false">'HC-PE'!L67</f>
        <v>89166.25</v>
      </c>
      <c r="M17" s="362" t="n">
        <f aca="false">'HC-PE'!M67</f>
        <v>89166.25</v>
      </c>
      <c r="N17" s="362" t="n">
        <f aca="false">'HC-PE'!N67</f>
        <v>89166.25</v>
      </c>
      <c r="O17" s="362" t="n">
        <f aca="false">'HC-PE'!O67</f>
        <v>89166.25</v>
      </c>
      <c r="P17" s="362" t="n">
        <f aca="false">'HC-PE'!P67</f>
        <v>89166.25</v>
      </c>
      <c r="Q17" s="362" t="n">
        <f aca="false">'HC-PE'!Q67</f>
        <v>89166.25</v>
      </c>
      <c r="R17" s="362" t="n">
        <f aca="false">'HC-PE'!R67</f>
        <v>89166.25</v>
      </c>
      <c r="S17" s="362" t="n">
        <f aca="false">'HC-PE'!S67</f>
        <v>89166.25</v>
      </c>
      <c r="T17" s="362" t="n">
        <f aca="false">'HC-PE'!T67</f>
        <v>89166.25</v>
      </c>
      <c r="U17" s="362" t="n">
        <f aca="false">'HC-PE'!U67</f>
        <v>89166.25</v>
      </c>
      <c r="V17" s="362" t="n">
        <f aca="false">'HC-PE'!V67</f>
        <v>91841.2375</v>
      </c>
      <c r="W17" s="362" t="n">
        <f aca="false">'HC-PE'!W67</f>
        <v>91841.2375</v>
      </c>
      <c r="X17" s="362" t="n">
        <f aca="false">'HC-PE'!X67</f>
        <v>91841.2375</v>
      </c>
      <c r="Y17" s="362"/>
      <c r="Z17" s="362" t="n">
        <f aca="false">SUM(M17:X17)</f>
        <v>1078019.9625</v>
      </c>
    </row>
    <row r="18" customFormat="false" ht="14.4" hidden="false" customHeight="false" outlineLevel="0" collapsed="false">
      <c r="B18" s="0" t="s">
        <v>715</v>
      </c>
      <c r="C18" s="0" t="s">
        <v>221</v>
      </c>
      <c r="D18" s="0" t="s">
        <v>3149</v>
      </c>
      <c r="I18" s="362" t="n">
        <f aca="false">'HC-CO'!I67</f>
        <v>36209.8333333333</v>
      </c>
      <c r="J18" s="362" t="n">
        <f aca="false">'HC-CO'!J67</f>
        <v>43709.8333333333</v>
      </c>
      <c r="K18" s="362" t="n">
        <f aca="false">'HC-CO'!K67</f>
        <v>43709.8333333333</v>
      </c>
      <c r="L18" s="362" t="n">
        <f aca="false">'HC-CO'!L67</f>
        <v>43709.8333333333</v>
      </c>
      <c r="M18" s="362" t="n">
        <f aca="false">'HC-CO'!M67</f>
        <v>52876.5</v>
      </c>
      <c r="N18" s="362" t="n">
        <f aca="false">'HC-CO'!N67</f>
        <v>52876.5</v>
      </c>
      <c r="O18" s="362" t="n">
        <f aca="false">'HC-CO'!O67</f>
        <v>52876.5</v>
      </c>
      <c r="P18" s="362" t="n">
        <f aca="false">'HC-CO'!P67</f>
        <v>52876.5</v>
      </c>
      <c r="Q18" s="362" t="n">
        <f aca="false">'HC-CO'!Q67</f>
        <v>52876.5</v>
      </c>
      <c r="R18" s="362" t="n">
        <f aca="false">'HC-CO'!R67</f>
        <v>52876.5</v>
      </c>
      <c r="S18" s="362" t="n">
        <f aca="false">'HC-CO'!S67</f>
        <v>52876.5</v>
      </c>
      <c r="T18" s="362" t="n">
        <f aca="false">'HC-CO'!T67</f>
        <v>52876.5</v>
      </c>
      <c r="U18" s="362" t="n">
        <f aca="false">'HC-CO'!U67</f>
        <v>52876.5</v>
      </c>
      <c r="V18" s="362" t="n">
        <f aca="false">'HC-CO'!V67</f>
        <v>54462.795</v>
      </c>
      <c r="W18" s="362" t="n">
        <f aca="false">'HC-CO'!W67</f>
        <v>54462.795</v>
      </c>
      <c r="X18" s="362" t="n">
        <f aca="false">'HC-CO'!X67</f>
        <v>54462.795</v>
      </c>
      <c r="Y18" s="362"/>
      <c r="Z18" s="362" t="n">
        <f aca="false">SUM(M18:X18)</f>
        <v>639276.885</v>
      </c>
    </row>
    <row r="19" customFormat="false" ht="14.4" hidden="false" customHeight="false" outlineLevel="0" collapsed="false">
      <c r="B19" s="342" t="s">
        <v>3150</v>
      </c>
      <c r="C19" s="342"/>
      <c r="D19" s="342"/>
      <c r="E19" s="342"/>
      <c r="F19" s="342"/>
      <c r="G19" s="342"/>
      <c r="H19" s="342"/>
      <c r="I19" s="363" t="n">
        <f aca="false">SUM(I14:I18)</f>
        <v>314727.916666667</v>
      </c>
      <c r="J19" s="363" t="n">
        <f aca="false">SUM(J14:J18)</f>
        <v>322227.916666667</v>
      </c>
      <c r="K19" s="363" t="n">
        <f aca="false">SUM(K14:K18)</f>
        <v>322227.916666667</v>
      </c>
      <c r="L19" s="363" t="n">
        <f aca="false">SUM(L14:L18)</f>
        <v>333894.583333333</v>
      </c>
      <c r="M19" s="363" t="n">
        <f aca="false">SUM(M14:M18)</f>
        <v>343061.25</v>
      </c>
      <c r="N19" s="363" t="n">
        <f aca="false">SUM(N14:N18)</f>
        <v>343061.25</v>
      </c>
      <c r="O19" s="363" t="n">
        <f aca="false">SUM(O14:O18)</f>
        <v>343061.25</v>
      </c>
      <c r="P19" s="363" t="n">
        <f aca="false">SUM(P14:P18)</f>
        <v>343061.25</v>
      </c>
      <c r="Q19" s="363" t="n">
        <f aca="false">SUM(Q14:Q18)</f>
        <v>343061.25</v>
      </c>
      <c r="R19" s="363" t="n">
        <f aca="false">SUM(R14:R18)</f>
        <v>343061.25</v>
      </c>
      <c r="S19" s="363" t="n">
        <f aca="false">SUM(S14:S18)</f>
        <v>343061.25</v>
      </c>
      <c r="T19" s="363" t="n">
        <f aca="false">SUM(T14:T18)</f>
        <v>343061.25</v>
      </c>
      <c r="U19" s="363" t="n">
        <f aca="false">SUM(U14:U18)</f>
        <v>343061.25</v>
      </c>
      <c r="V19" s="363" t="n">
        <f aca="false">SUM(V14:V18)</f>
        <v>353353.0875</v>
      </c>
      <c r="W19" s="363" t="n">
        <f aca="false">SUM(W14:W18)</f>
        <v>353353.0875</v>
      </c>
      <c r="X19" s="363" t="n">
        <f aca="false">SUM(X14:X18)</f>
        <v>353353.0875</v>
      </c>
      <c r="Y19" s="363"/>
      <c r="Z19" s="363" t="n">
        <f aca="false">SUM(M19:X19)</f>
        <v>4147610.5125</v>
      </c>
    </row>
    <row r="21" customFormat="false" ht="14.4" hidden="false" customHeight="false" outlineLevel="0" collapsed="false">
      <c r="B21" s="317" t="s">
        <v>2288</v>
      </c>
      <c r="C21" s="317"/>
      <c r="D21" s="317"/>
    </row>
    <row r="22" customFormat="false" ht="14.4" hidden="false" customHeight="false" outlineLevel="0" collapsed="false">
      <c r="B22" s="0" t="s">
        <v>712</v>
      </c>
      <c r="C22" s="0" t="s">
        <v>2298</v>
      </c>
      <c r="D22" s="0" t="s">
        <v>3148</v>
      </c>
      <c r="I22" s="362" t="n">
        <f aca="false">'HC-PO'!I68</f>
        <v>1580.22856962794</v>
      </c>
      <c r="J22" s="362" t="n">
        <f aca="false">'HC-PO'!J68</f>
        <v>1580.22856962794</v>
      </c>
      <c r="K22" s="362" t="n">
        <f aca="false">'HC-PO'!K68</f>
        <v>1580.22856962794</v>
      </c>
      <c r="L22" s="362" t="n">
        <f aca="false">'HC-PO'!L68</f>
        <v>1580.22856962794</v>
      </c>
      <c r="M22" s="362" t="n">
        <f aca="false">'HC-PO'!M68</f>
        <v>1580.22856962794</v>
      </c>
      <c r="N22" s="362" t="n">
        <f aca="false">'HC-PO'!N68</f>
        <v>1580.22856962794</v>
      </c>
      <c r="O22" s="362" t="n">
        <f aca="false">'HC-PO'!O68</f>
        <v>1580.22856962794</v>
      </c>
      <c r="P22" s="362" t="n">
        <f aca="false">'HC-PO'!P68</f>
        <v>1580.22856962794</v>
      </c>
      <c r="Q22" s="362" t="n">
        <f aca="false">'HC-PO'!Q68</f>
        <v>1580.22856962794</v>
      </c>
      <c r="R22" s="362" t="n">
        <f aca="false">'HC-PO'!R68</f>
        <v>1580.22856962794</v>
      </c>
      <c r="S22" s="362" t="n">
        <f aca="false">'HC-PO'!S68</f>
        <v>1580.22856962794</v>
      </c>
      <c r="T22" s="362" t="n">
        <f aca="false">'HC-PO'!T68</f>
        <v>1580.22856962794</v>
      </c>
      <c r="U22" s="362" t="n">
        <f aca="false">'HC-PO'!U68</f>
        <v>1580.22856962794</v>
      </c>
      <c r="V22" s="362" t="n">
        <f aca="false">'HC-PO'!V68</f>
        <v>1627.63542671678</v>
      </c>
      <c r="W22" s="362" t="n">
        <f aca="false">'HC-PO'!W68</f>
        <v>1627.63542671678</v>
      </c>
      <c r="X22" s="362" t="n">
        <f aca="false">'HC-PO'!X68</f>
        <v>1627.63542671678</v>
      </c>
      <c r="Y22" s="362"/>
      <c r="Z22" s="362" t="n">
        <f aca="false">SUM(M22:X22)</f>
        <v>19104.9634068018</v>
      </c>
    </row>
    <row r="23" customFormat="false" ht="14.4" hidden="false" customHeight="false" outlineLevel="0" collapsed="false">
      <c r="B23" s="0" t="s">
        <v>710</v>
      </c>
      <c r="C23" s="0" t="s">
        <v>2291</v>
      </c>
      <c r="D23" s="0" t="s">
        <v>3148</v>
      </c>
      <c r="I23" s="362" t="n">
        <f aca="false">'HC-FO'!I68</f>
        <v>6163.24335100372</v>
      </c>
      <c r="J23" s="362" t="n">
        <f aca="false">'HC-FO'!J68</f>
        <v>6163.24335100372</v>
      </c>
      <c r="K23" s="362" t="n">
        <f aca="false">'HC-FO'!K68</f>
        <v>6163.24335100372</v>
      </c>
      <c r="L23" s="362" t="n">
        <f aca="false">'HC-FO'!L68</f>
        <v>6163.24335100372</v>
      </c>
      <c r="M23" s="362" t="n">
        <f aca="false">'HC-FO'!M68</f>
        <v>6163.24335100372</v>
      </c>
      <c r="N23" s="362" t="n">
        <f aca="false">'HC-FO'!N68</f>
        <v>6163.24335100372</v>
      </c>
      <c r="O23" s="362" t="n">
        <f aca="false">'HC-FO'!O68</f>
        <v>6163.24335100372</v>
      </c>
      <c r="P23" s="362" t="n">
        <f aca="false">'HC-FO'!P68</f>
        <v>6163.24335100372</v>
      </c>
      <c r="Q23" s="362" t="n">
        <f aca="false">'HC-FO'!Q68</f>
        <v>6163.24335100372</v>
      </c>
      <c r="R23" s="362" t="n">
        <f aca="false">'HC-FO'!R68</f>
        <v>6163.24335100372</v>
      </c>
      <c r="S23" s="362" t="n">
        <f aca="false">'HC-FO'!S68</f>
        <v>6163.24335100372</v>
      </c>
      <c r="T23" s="362" t="n">
        <f aca="false">'HC-FO'!T68</f>
        <v>6163.24335100372</v>
      </c>
      <c r="U23" s="362" t="n">
        <f aca="false">'HC-FO'!U68</f>
        <v>6163.24335100372</v>
      </c>
      <c r="V23" s="362" t="n">
        <f aca="false">'HC-FO'!V68</f>
        <v>6348.14065153383</v>
      </c>
      <c r="W23" s="362" t="n">
        <f aca="false">'HC-FO'!W68</f>
        <v>6348.14065153383</v>
      </c>
      <c r="X23" s="362" t="n">
        <f aca="false">'HC-FO'!X68</f>
        <v>6348.14065153383</v>
      </c>
      <c r="Y23" s="362"/>
      <c r="Z23" s="362" t="n">
        <f aca="false">SUM(M23:X23)</f>
        <v>74513.612113635</v>
      </c>
    </row>
    <row r="24" customFormat="false" ht="14.4" hidden="false" customHeight="false" outlineLevel="0" collapsed="false">
      <c r="B24" s="0" t="s">
        <v>717</v>
      </c>
      <c r="C24" s="0" t="s">
        <v>2321</v>
      </c>
      <c r="D24" s="0" t="s">
        <v>3149</v>
      </c>
      <c r="I24" s="362" t="n">
        <f aca="false">'HC-FE'!I68</f>
        <v>2274.24922637826</v>
      </c>
      <c r="J24" s="362" t="n">
        <f aca="false">'HC-FE'!J68</f>
        <v>2274.24922637826</v>
      </c>
      <c r="K24" s="362" t="n">
        <f aca="false">'HC-FE'!K68</f>
        <v>2274.24922637826</v>
      </c>
      <c r="L24" s="362" t="n">
        <f aca="false">'HC-FE'!L68</f>
        <v>2748.99003326115</v>
      </c>
      <c r="M24" s="362" t="n">
        <f aca="false">'HC-FE'!M68</f>
        <v>2748.99003326115</v>
      </c>
      <c r="N24" s="362" t="n">
        <f aca="false">'HC-FE'!N68</f>
        <v>2748.99003326115</v>
      </c>
      <c r="O24" s="362" t="n">
        <f aca="false">'HC-FE'!O68</f>
        <v>2748.99003326115</v>
      </c>
      <c r="P24" s="362" t="n">
        <f aca="false">'HC-FE'!P68</f>
        <v>2748.99003326115</v>
      </c>
      <c r="Q24" s="362" t="n">
        <f aca="false">'HC-FE'!Q68</f>
        <v>2748.99003326115</v>
      </c>
      <c r="R24" s="362" t="n">
        <f aca="false">'HC-FE'!R68</f>
        <v>2748.99003326115</v>
      </c>
      <c r="S24" s="362" t="n">
        <f aca="false">'HC-FE'!S68</f>
        <v>2748.99003326115</v>
      </c>
      <c r="T24" s="362" t="n">
        <f aca="false">'HC-FE'!T68</f>
        <v>2748.99003326115</v>
      </c>
      <c r="U24" s="362" t="n">
        <f aca="false">'HC-FE'!U68</f>
        <v>2748.99003326115</v>
      </c>
      <c r="V24" s="362" t="n">
        <f aca="false">'HC-FE'!V68</f>
        <v>2831.45973425898</v>
      </c>
      <c r="W24" s="362" t="n">
        <f aca="false">'HC-FE'!W68</f>
        <v>2831.45973425898</v>
      </c>
      <c r="X24" s="362" t="n">
        <f aca="false">'HC-FE'!X68</f>
        <v>2831.45973425898</v>
      </c>
      <c r="Y24" s="362"/>
      <c r="Z24" s="362" t="n">
        <f aca="false">SUM(M24:X24)</f>
        <v>33235.2895021273</v>
      </c>
    </row>
    <row r="25" customFormat="false" ht="14.4" hidden="false" customHeight="false" outlineLevel="0" collapsed="false">
      <c r="B25" s="0" t="s">
        <v>718</v>
      </c>
      <c r="C25" s="0" t="s">
        <v>2322</v>
      </c>
      <c r="D25" s="0" t="s">
        <v>3149</v>
      </c>
      <c r="I25" s="362" t="n">
        <f aca="false">'HC-PE'!I68</f>
        <v>3184.54248759661</v>
      </c>
      <c r="J25" s="362" t="n">
        <f aca="false">'HC-PE'!J68</f>
        <v>3184.54248759661</v>
      </c>
      <c r="K25" s="362" t="n">
        <f aca="false">'HC-PE'!K68</f>
        <v>3184.54248759661</v>
      </c>
      <c r="L25" s="362" t="n">
        <f aca="false">'HC-PE'!L68</f>
        <v>3184.54248759661</v>
      </c>
      <c r="M25" s="362" t="n">
        <f aca="false">'HC-PE'!M68</f>
        <v>3184.54248759661</v>
      </c>
      <c r="N25" s="362" t="n">
        <f aca="false">'HC-PE'!N68</f>
        <v>3184.54248759661</v>
      </c>
      <c r="O25" s="362" t="n">
        <f aca="false">'HC-PE'!O68</f>
        <v>3184.54248759661</v>
      </c>
      <c r="P25" s="362" t="n">
        <f aca="false">'HC-PE'!P68</f>
        <v>3184.54248759661</v>
      </c>
      <c r="Q25" s="362" t="n">
        <f aca="false">'HC-PE'!Q68</f>
        <v>3184.54248759661</v>
      </c>
      <c r="R25" s="362" t="n">
        <f aca="false">'HC-PE'!R68</f>
        <v>3184.54248759661</v>
      </c>
      <c r="S25" s="362" t="n">
        <f aca="false">'HC-PE'!S68</f>
        <v>3184.54248759661</v>
      </c>
      <c r="T25" s="362" t="n">
        <f aca="false">'HC-PE'!T68</f>
        <v>3184.54248759661</v>
      </c>
      <c r="U25" s="362" t="n">
        <f aca="false">'HC-PE'!U68</f>
        <v>3184.54248759661</v>
      </c>
      <c r="V25" s="362" t="n">
        <f aca="false">'HC-PE'!V68</f>
        <v>3280.0787622245</v>
      </c>
      <c r="W25" s="362" t="n">
        <f aca="false">'HC-PE'!W68</f>
        <v>3280.0787622245</v>
      </c>
      <c r="X25" s="362" t="n">
        <f aca="false">'HC-PE'!X68</f>
        <v>3280.0787622245</v>
      </c>
      <c r="Y25" s="362"/>
      <c r="Z25" s="362" t="n">
        <f aca="false">SUM(M25:X25)</f>
        <v>38501.118675043</v>
      </c>
    </row>
    <row r="26" customFormat="false" ht="14.4" hidden="false" customHeight="false" outlineLevel="0" collapsed="false">
      <c r="B26" s="0" t="s">
        <v>715</v>
      </c>
      <c r="C26" s="0" t="s">
        <v>221</v>
      </c>
      <c r="D26" s="0" t="s">
        <v>3149</v>
      </c>
      <c r="I26" s="362" t="n">
        <f aca="false">'HC-CO'!I68</f>
        <v>1890.68054481763</v>
      </c>
      <c r="J26" s="362" t="n">
        <f aca="false">'HC-CO'!J68</f>
        <v>2282.28975095774</v>
      </c>
      <c r="K26" s="362" t="n">
        <f aca="false">'HC-CO'!K68</f>
        <v>2282.28975095774</v>
      </c>
      <c r="L26" s="362" t="n">
        <f aca="false">'HC-CO'!L68</f>
        <v>2282.28975095774</v>
      </c>
      <c r="M26" s="362" t="n">
        <f aca="false">'HC-CO'!M68</f>
        <v>2760.92322512898</v>
      </c>
      <c r="N26" s="362" t="n">
        <f aca="false">'HC-CO'!N68</f>
        <v>2760.92322512898</v>
      </c>
      <c r="O26" s="362" t="n">
        <f aca="false">'HC-CO'!O68</f>
        <v>2760.92322512898</v>
      </c>
      <c r="P26" s="362" t="n">
        <f aca="false">'HC-CO'!P68</f>
        <v>2760.92322512898</v>
      </c>
      <c r="Q26" s="362" t="n">
        <f aca="false">'HC-CO'!Q68</f>
        <v>2760.92322512898</v>
      </c>
      <c r="R26" s="362" t="n">
        <f aca="false">'HC-CO'!R68</f>
        <v>2760.92322512898</v>
      </c>
      <c r="S26" s="362" t="n">
        <f aca="false">'HC-CO'!S68</f>
        <v>2760.92322512898</v>
      </c>
      <c r="T26" s="362" t="n">
        <f aca="false">'HC-CO'!T68</f>
        <v>2760.92322512898</v>
      </c>
      <c r="U26" s="362" t="n">
        <f aca="false">'HC-CO'!U68</f>
        <v>2760.92322512898</v>
      </c>
      <c r="V26" s="362" t="n">
        <f aca="false">'HC-CO'!V68</f>
        <v>2843.75092188285</v>
      </c>
      <c r="W26" s="362" t="n">
        <f aca="false">'HC-CO'!W68</f>
        <v>2843.75092188285</v>
      </c>
      <c r="X26" s="362" t="n">
        <f aca="false">'HC-CO'!X68</f>
        <v>2843.75092188285</v>
      </c>
      <c r="Y26" s="362"/>
      <c r="Z26" s="362" t="n">
        <f aca="false">SUM(M26:X26)</f>
        <v>33379.5617918094</v>
      </c>
    </row>
    <row r="27" customFormat="false" ht="14.4" hidden="false" customHeight="false" outlineLevel="0" collapsed="false">
      <c r="B27" s="342" t="s">
        <v>3151</v>
      </c>
      <c r="C27" s="342"/>
      <c r="D27" s="342"/>
      <c r="E27" s="342"/>
      <c r="F27" s="342"/>
      <c r="G27" s="342"/>
      <c r="H27" s="342"/>
      <c r="I27" s="363" t="n">
        <f aca="false">SUM(I22:I26)</f>
        <v>15092.9441794242</v>
      </c>
      <c r="J27" s="363" t="n">
        <f aca="false">SUM(J22:J26)</f>
        <v>15484.5533855643</v>
      </c>
      <c r="K27" s="363" t="n">
        <f aca="false">SUM(K22:K26)</f>
        <v>15484.5533855643</v>
      </c>
      <c r="L27" s="363" t="n">
        <f aca="false">SUM(L22:L26)</f>
        <v>15959.2941924472</v>
      </c>
      <c r="M27" s="363" t="n">
        <f aca="false">SUM(M22:M26)</f>
        <v>16437.9276666184</v>
      </c>
      <c r="N27" s="363" t="n">
        <f aca="false">SUM(N22:N26)</f>
        <v>16437.9276666184</v>
      </c>
      <c r="O27" s="363" t="n">
        <f aca="false">SUM(O22:O26)</f>
        <v>16437.9276666184</v>
      </c>
      <c r="P27" s="363" t="n">
        <f aca="false">SUM(P22:P26)</f>
        <v>16437.9276666184</v>
      </c>
      <c r="Q27" s="363" t="n">
        <f aca="false">SUM(Q22:Q26)</f>
        <v>16437.9276666184</v>
      </c>
      <c r="R27" s="363" t="n">
        <f aca="false">SUM(R22:R26)</f>
        <v>16437.9276666184</v>
      </c>
      <c r="S27" s="363" t="n">
        <f aca="false">SUM(S22:S26)</f>
        <v>16437.9276666184</v>
      </c>
      <c r="T27" s="363" t="n">
        <f aca="false">SUM(T22:T26)</f>
        <v>16437.9276666184</v>
      </c>
      <c r="U27" s="363" t="n">
        <f aca="false">SUM(U22:U26)</f>
        <v>16437.9276666184</v>
      </c>
      <c r="V27" s="363" t="n">
        <f aca="false">SUM(V22:V26)</f>
        <v>16931.065496617</v>
      </c>
      <c r="W27" s="363" t="n">
        <f aca="false">SUM(W22:W26)</f>
        <v>16931.065496617</v>
      </c>
      <c r="X27" s="363" t="n">
        <f aca="false">SUM(X22:X26)</f>
        <v>16931.065496617</v>
      </c>
      <c r="Y27" s="363"/>
      <c r="Z27" s="363" t="n">
        <f aca="false">SUM(M27:X27)</f>
        <v>198734.545489416</v>
      </c>
    </row>
    <row r="29" customFormat="false" ht="14.4" hidden="false" customHeight="false" outlineLevel="0" collapsed="false">
      <c r="B29" s="317" t="s">
        <v>2289</v>
      </c>
      <c r="C29" s="317"/>
      <c r="D29" s="317"/>
    </row>
    <row r="30" customFormat="false" ht="14.4" hidden="false" customHeight="false" outlineLevel="0" collapsed="false">
      <c r="B30" s="0" t="s">
        <v>712</v>
      </c>
      <c r="C30" s="0" t="s">
        <v>2298</v>
      </c>
      <c r="D30" s="0" t="s">
        <v>3148</v>
      </c>
      <c r="I30" s="362" t="n">
        <f aca="false">'HC-PO'!I69</f>
        <v>8966.45875099473</v>
      </c>
      <c r="J30" s="362" t="n">
        <f aca="false">'HC-PO'!J69</f>
        <v>8966.45875099473</v>
      </c>
      <c r="K30" s="362" t="n">
        <f aca="false">'HC-PO'!K69</f>
        <v>8966.45875099473</v>
      </c>
      <c r="L30" s="362" t="n">
        <f aca="false">'HC-PO'!L69</f>
        <v>8966.45875099473</v>
      </c>
      <c r="M30" s="362" t="n">
        <f aca="false">'HC-PO'!M69</f>
        <v>8966.45875099473</v>
      </c>
      <c r="N30" s="362" t="n">
        <f aca="false">'HC-PO'!N69</f>
        <v>8966.45875099473</v>
      </c>
      <c r="O30" s="362" t="n">
        <f aca="false">'HC-PO'!O69</f>
        <v>8966.45875099473</v>
      </c>
      <c r="P30" s="362" t="n">
        <f aca="false">'HC-PO'!P69</f>
        <v>8966.45875099473</v>
      </c>
      <c r="Q30" s="362" t="n">
        <f aca="false">'HC-PO'!Q69</f>
        <v>8966.45875099473</v>
      </c>
      <c r="R30" s="362" t="n">
        <f aca="false">'HC-PO'!R69</f>
        <v>8966.45875099473</v>
      </c>
      <c r="S30" s="362" t="n">
        <f aca="false">'HC-PO'!S69</f>
        <v>8966.45875099473</v>
      </c>
      <c r="T30" s="362" t="n">
        <f aca="false">'HC-PO'!T69</f>
        <v>8966.45875099473</v>
      </c>
      <c r="U30" s="362" t="n">
        <f aca="false">'HC-PO'!U69</f>
        <v>8966.45875099473</v>
      </c>
      <c r="V30" s="362" t="n">
        <f aca="false">'HC-PO'!V69</f>
        <v>9235.45251352458</v>
      </c>
      <c r="W30" s="362" t="n">
        <f aca="false">'HC-PO'!W69</f>
        <v>9235.45251352458</v>
      </c>
      <c r="X30" s="362" t="n">
        <f aca="false">'HC-PO'!X69</f>
        <v>9235.45251352458</v>
      </c>
      <c r="Y30" s="362"/>
      <c r="Z30" s="362" t="n">
        <f aca="false">SUM(M30:X30)</f>
        <v>108404.486299526</v>
      </c>
    </row>
    <row r="31" customFormat="false" ht="14.4" hidden="false" customHeight="false" outlineLevel="0" collapsed="false">
      <c r="B31" s="0" t="s">
        <v>710</v>
      </c>
      <c r="C31" s="0" t="s">
        <v>2291</v>
      </c>
      <c r="D31" s="0" t="s">
        <v>3148</v>
      </c>
      <c r="I31" s="362" t="n">
        <f aca="false">'HC-FO'!I69</f>
        <v>14766.8980188356</v>
      </c>
      <c r="J31" s="362" t="n">
        <f aca="false">'HC-FO'!J69</f>
        <v>14766.8980188356</v>
      </c>
      <c r="K31" s="362" t="n">
        <f aca="false">'HC-FO'!K69</f>
        <v>14766.8980188356</v>
      </c>
      <c r="L31" s="362" t="n">
        <f aca="false">'HC-FO'!L69</f>
        <v>14766.8980188356</v>
      </c>
      <c r="M31" s="362" t="n">
        <f aca="false">'HC-FO'!M69</f>
        <v>14766.8980188356</v>
      </c>
      <c r="N31" s="362" t="n">
        <f aca="false">'HC-FO'!N69</f>
        <v>14766.8980188356</v>
      </c>
      <c r="O31" s="362" t="n">
        <f aca="false">'HC-FO'!O69</f>
        <v>14766.8980188356</v>
      </c>
      <c r="P31" s="362" t="n">
        <f aca="false">'HC-FO'!P69</f>
        <v>14766.8980188356</v>
      </c>
      <c r="Q31" s="362" t="n">
        <f aca="false">'HC-FO'!Q69</f>
        <v>14766.8980188356</v>
      </c>
      <c r="R31" s="362" t="n">
        <f aca="false">'HC-FO'!R69</f>
        <v>14766.8980188356</v>
      </c>
      <c r="S31" s="362" t="n">
        <f aca="false">'HC-FO'!S69</f>
        <v>14766.8980188356</v>
      </c>
      <c r="T31" s="362" t="n">
        <f aca="false">'HC-FO'!T69</f>
        <v>14766.8980188356</v>
      </c>
      <c r="U31" s="362" t="n">
        <f aca="false">'HC-FO'!U69</f>
        <v>14766.8980188356</v>
      </c>
      <c r="V31" s="362" t="n">
        <f aca="false">'HC-FO'!V69</f>
        <v>15209.9049594006</v>
      </c>
      <c r="W31" s="362" t="n">
        <f aca="false">'HC-FO'!W69</f>
        <v>15209.9049594006</v>
      </c>
      <c r="X31" s="362" t="n">
        <f aca="false">'HC-FO'!X69</f>
        <v>15209.9049594006</v>
      </c>
      <c r="Y31" s="362"/>
      <c r="Z31" s="362" t="n">
        <f aca="false">SUM(M31:X31)</f>
        <v>178531.797047722</v>
      </c>
    </row>
    <row r="32" customFormat="false" ht="14.4" hidden="false" customHeight="false" outlineLevel="0" collapsed="false">
      <c r="B32" s="0" t="s">
        <v>717</v>
      </c>
      <c r="C32" s="0" t="s">
        <v>2321</v>
      </c>
      <c r="D32" s="0" t="s">
        <v>3149</v>
      </c>
      <c r="I32" s="362" t="n">
        <f aca="false">'HC-FE'!I69</f>
        <v>4036.82941001739</v>
      </c>
      <c r="J32" s="362" t="n">
        <f aca="false">'HC-FE'!J69</f>
        <v>4036.82941001739</v>
      </c>
      <c r="K32" s="362" t="n">
        <f aca="false">'HC-FE'!K69</f>
        <v>4036.82941001739</v>
      </c>
      <c r="L32" s="362" t="n">
        <f aca="false">'HC-FE'!L69</f>
        <v>4879.5020727722</v>
      </c>
      <c r="M32" s="362" t="n">
        <f aca="false">'HC-FE'!M69</f>
        <v>4879.5020727722</v>
      </c>
      <c r="N32" s="362" t="n">
        <f aca="false">'HC-FE'!N69</f>
        <v>4879.5020727722</v>
      </c>
      <c r="O32" s="362" t="n">
        <f aca="false">'HC-FE'!O69</f>
        <v>4879.5020727722</v>
      </c>
      <c r="P32" s="362" t="n">
        <f aca="false">'HC-FE'!P69</f>
        <v>4879.5020727722</v>
      </c>
      <c r="Q32" s="362" t="n">
        <f aca="false">'HC-FE'!Q69</f>
        <v>4879.5020727722</v>
      </c>
      <c r="R32" s="362" t="n">
        <f aca="false">'HC-FE'!R69</f>
        <v>4879.5020727722</v>
      </c>
      <c r="S32" s="362" t="n">
        <f aca="false">'HC-FE'!S69</f>
        <v>4879.5020727722</v>
      </c>
      <c r="T32" s="362" t="n">
        <f aca="false">'HC-FE'!T69</f>
        <v>4879.5020727722</v>
      </c>
      <c r="U32" s="362" t="n">
        <f aca="false">'HC-FE'!U69</f>
        <v>4879.5020727722</v>
      </c>
      <c r="V32" s="362" t="n">
        <f aca="false">'HC-FE'!V69</f>
        <v>5025.88713495537</v>
      </c>
      <c r="W32" s="362" t="n">
        <f aca="false">'HC-FE'!W69</f>
        <v>5025.88713495537</v>
      </c>
      <c r="X32" s="362" t="n">
        <f aca="false">'HC-FE'!X69</f>
        <v>5025.88713495537</v>
      </c>
      <c r="Y32" s="362"/>
      <c r="Z32" s="362" t="n">
        <f aca="false">SUM(M32:X32)</f>
        <v>58993.1800598159</v>
      </c>
    </row>
    <row r="33" customFormat="false" ht="14.4" hidden="false" customHeight="false" outlineLevel="0" collapsed="false">
      <c r="B33" s="0" t="s">
        <v>718</v>
      </c>
      <c r="C33" s="0" t="s">
        <v>2322</v>
      </c>
      <c r="D33" s="0" t="s">
        <v>3149</v>
      </c>
      <c r="I33" s="362" t="n">
        <f aca="false">'HC-PE'!I69</f>
        <v>7867.34570925123</v>
      </c>
      <c r="J33" s="362" t="n">
        <f aca="false">'HC-PE'!J69</f>
        <v>7867.34570925123</v>
      </c>
      <c r="K33" s="362" t="n">
        <f aca="false">'HC-PE'!K69</f>
        <v>7867.34570925123</v>
      </c>
      <c r="L33" s="362" t="n">
        <f aca="false">'HC-PE'!L69</f>
        <v>7867.34570925123</v>
      </c>
      <c r="M33" s="362" t="n">
        <f aca="false">'HC-PE'!M69</f>
        <v>7867.34570925123</v>
      </c>
      <c r="N33" s="362" t="n">
        <f aca="false">'HC-PE'!N69</f>
        <v>7867.34570925123</v>
      </c>
      <c r="O33" s="362" t="n">
        <f aca="false">'HC-PE'!O69</f>
        <v>7867.34570925123</v>
      </c>
      <c r="P33" s="362" t="n">
        <f aca="false">'HC-PE'!P69</f>
        <v>7867.34570925123</v>
      </c>
      <c r="Q33" s="362" t="n">
        <f aca="false">'HC-PE'!Q69</f>
        <v>7867.34570925123</v>
      </c>
      <c r="R33" s="362" t="n">
        <f aca="false">'HC-PE'!R69</f>
        <v>7867.34570925123</v>
      </c>
      <c r="S33" s="362" t="n">
        <f aca="false">'HC-PE'!S69</f>
        <v>7867.34570925123</v>
      </c>
      <c r="T33" s="362" t="n">
        <f aca="false">'HC-PE'!T69</f>
        <v>7867.34570925123</v>
      </c>
      <c r="U33" s="362" t="n">
        <f aca="false">'HC-PE'!U69</f>
        <v>7867.34570925123</v>
      </c>
      <c r="V33" s="362" t="n">
        <f aca="false">'HC-PE'!V69</f>
        <v>8103.36608052876</v>
      </c>
      <c r="W33" s="362" t="n">
        <f aca="false">'HC-PE'!W69</f>
        <v>8103.36608052876</v>
      </c>
      <c r="X33" s="362" t="n">
        <f aca="false">'HC-PE'!X69</f>
        <v>8103.36608052876</v>
      </c>
      <c r="Y33" s="362"/>
      <c r="Z33" s="362" t="n">
        <f aca="false">SUM(M33:X33)</f>
        <v>95116.2096248473</v>
      </c>
    </row>
    <row r="34" customFormat="false" ht="14.4" hidden="false" customHeight="false" outlineLevel="0" collapsed="false">
      <c r="B34" s="0" t="s">
        <v>715</v>
      </c>
      <c r="C34" s="0" t="s">
        <v>221</v>
      </c>
      <c r="D34" s="0" t="s">
        <v>3149</v>
      </c>
      <c r="I34" s="362" t="n">
        <f aca="false">'HC-CO'!I69</f>
        <v>4311.07226924046</v>
      </c>
      <c r="J34" s="362" t="n">
        <f aca="false">'HC-CO'!J69</f>
        <v>5204.0076694578</v>
      </c>
      <c r="K34" s="362" t="n">
        <f aca="false">'HC-CO'!K69</f>
        <v>5204.0076694578</v>
      </c>
      <c r="L34" s="362" t="n">
        <f aca="false">'HC-CO'!L69</f>
        <v>5204.0076694578</v>
      </c>
      <c r="M34" s="362" t="n">
        <f aca="false">'HC-CO'!M69</f>
        <v>6295.37315861234</v>
      </c>
      <c r="N34" s="362" t="n">
        <f aca="false">'HC-CO'!N69</f>
        <v>6295.37315861234</v>
      </c>
      <c r="O34" s="362" t="n">
        <f aca="false">'HC-CO'!O69</f>
        <v>6295.37315861234</v>
      </c>
      <c r="P34" s="362" t="n">
        <f aca="false">'HC-CO'!P69</f>
        <v>6295.37315861234</v>
      </c>
      <c r="Q34" s="362" t="n">
        <f aca="false">'HC-CO'!Q69</f>
        <v>6295.37315861234</v>
      </c>
      <c r="R34" s="362" t="n">
        <f aca="false">'HC-CO'!R69</f>
        <v>6295.37315861234</v>
      </c>
      <c r="S34" s="362" t="n">
        <f aca="false">'HC-CO'!S69</f>
        <v>6295.37315861234</v>
      </c>
      <c r="T34" s="362" t="n">
        <f aca="false">'HC-CO'!T69</f>
        <v>6295.37315861234</v>
      </c>
      <c r="U34" s="362" t="n">
        <f aca="false">'HC-CO'!U69</f>
        <v>6295.37315861234</v>
      </c>
      <c r="V34" s="362" t="n">
        <f aca="false">'HC-CO'!V69</f>
        <v>6484.23435337071</v>
      </c>
      <c r="W34" s="362" t="n">
        <f aca="false">'HC-CO'!W69</f>
        <v>6484.23435337071</v>
      </c>
      <c r="X34" s="362" t="n">
        <f aca="false">'HC-CO'!X69</f>
        <v>6484.23435337071</v>
      </c>
      <c r="Y34" s="362"/>
      <c r="Z34" s="362" t="n">
        <f aca="false">SUM(M34:X34)</f>
        <v>76111.0614876232</v>
      </c>
    </row>
    <row r="35" customFormat="false" ht="14.4" hidden="false" customHeight="false" outlineLevel="0" collapsed="false">
      <c r="B35" s="342" t="s">
        <v>3152</v>
      </c>
      <c r="C35" s="342"/>
      <c r="D35" s="342"/>
      <c r="E35" s="342"/>
      <c r="F35" s="342"/>
      <c r="G35" s="342"/>
      <c r="H35" s="342"/>
      <c r="I35" s="363" t="n">
        <f aca="false">SUM(I30:I34)</f>
        <v>39948.6041583394</v>
      </c>
      <c r="J35" s="363" t="n">
        <f aca="false">SUM(J30:J34)</f>
        <v>40841.5395585567</v>
      </c>
      <c r="K35" s="363" t="n">
        <f aca="false">SUM(K30:K34)</f>
        <v>40841.5395585567</v>
      </c>
      <c r="L35" s="363" t="n">
        <f aca="false">SUM(L30:L34)</f>
        <v>41684.2122213115</v>
      </c>
      <c r="M35" s="363" t="n">
        <f aca="false">SUM(M30:M34)</f>
        <v>42775.5777104661</v>
      </c>
      <c r="N35" s="363" t="n">
        <f aca="false">SUM(N30:N34)</f>
        <v>42775.5777104661</v>
      </c>
      <c r="O35" s="363" t="n">
        <f aca="false">SUM(O30:O34)</f>
        <v>42775.5777104661</v>
      </c>
      <c r="P35" s="363" t="n">
        <f aca="false">SUM(P30:P34)</f>
        <v>42775.5777104661</v>
      </c>
      <c r="Q35" s="363" t="n">
        <f aca="false">SUM(Q30:Q34)</f>
        <v>42775.5777104661</v>
      </c>
      <c r="R35" s="363" t="n">
        <f aca="false">SUM(R30:R34)</f>
        <v>42775.5777104661</v>
      </c>
      <c r="S35" s="363" t="n">
        <f aca="false">SUM(S30:S34)</f>
        <v>42775.5777104661</v>
      </c>
      <c r="T35" s="363" t="n">
        <f aca="false">SUM(T30:T34)</f>
        <v>42775.5777104661</v>
      </c>
      <c r="U35" s="363" t="n">
        <f aca="false">SUM(U30:U34)</f>
        <v>42775.5777104661</v>
      </c>
      <c r="V35" s="363" t="n">
        <f aca="false">SUM(V30:V34)</f>
        <v>44058.84504178</v>
      </c>
      <c r="W35" s="363" t="n">
        <f aca="false">SUM(W30:W34)</f>
        <v>44058.84504178</v>
      </c>
      <c r="X35" s="363" t="n">
        <f aca="false">SUM(X30:X34)</f>
        <v>44058.84504178</v>
      </c>
      <c r="Y35" s="363"/>
      <c r="Z35" s="363" t="n">
        <f aca="false">SUM(M35:X35)</f>
        <v>517156.734519535</v>
      </c>
    </row>
    <row r="37" customFormat="false" ht="14.4" hidden="false" customHeight="false" outlineLevel="0" collapsed="false">
      <c r="B37" s="317" t="s">
        <v>3074</v>
      </c>
      <c r="C37" s="317"/>
      <c r="D37" s="317"/>
    </row>
    <row r="38" customFormat="false" ht="14.4" hidden="false" customHeight="false" outlineLevel="0" collapsed="false">
      <c r="B38" s="0" t="s">
        <v>712</v>
      </c>
      <c r="C38" s="0" t="s">
        <v>2298</v>
      </c>
      <c r="D38" s="0" t="s">
        <v>3148</v>
      </c>
      <c r="I38" s="362" t="n">
        <f aca="false">'HC-PO'!I70</f>
        <v>53996.6873206227</v>
      </c>
      <c r="J38" s="362" t="n">
        <f aca="false">'HC-PO'!J70</f>
        <v>53996.6873206227</v>
      </c>
      <c r="K38" s="362" t="n">
        <f aca="false">'HC-PO'!K70</f>
        <v>53996.6873206227</v>
      </c>
      <c r="L38" s="362" t="n">
        <f aca="false">'HC-PO'!L70</f>
        <v>53996.6873206227</v>
      </c>
      <c r="M38" s="362" t="n">
        <f aca="false">'HC-PO'!M70</f>
        <v>53996.6873206227</v>
      </c>
      <c r="N38" s="362" t="n">
        <f aca="false">'HC-PO'!N70</f>
        <v>53996.6873206227</v>
      </c>
      <c r="O38" s="362" t="n">
        <f aca="false">'HC-PO'!O70</f>
        <v>53996.6873206227</v>
      </c>
      <c r="P38" s="362" t="n">
        <f aca="false">'HC-PO'!P70</f>
        <v>53996.6873206227</v>
      </c>
      <c r="Q38" s="362" t="n">
        <f aca="false">'HC-PO'!Q70</f>
        <v>53996.6873206227</v>
      </c>
      <c r="R38" s="362" t="n">
        <f aca="false">'HC-PO'!R70</f>
        <v>53996.6873206227</v>
      </c>
      <c r="S38" s="362" t="n">
        <f aca="false">'HC-PO'!S70</f>
        <v>53996.6873206227</v>
      </c>
      <c r="T38" s="362" t="n">
        <f aca="false">'HC-PO'!T70</f>
        <v>53996.6873206227</v>
      </c>
      <c r="U38" s="362" t="n">
        <f aca="false">'HC-PO'!U70</f>
        <v>53996.6873206227</v>
      </c>
      <c r="V38" s="362" t="n">
        <f aca="false">'HC-PO'!V70</f>
        <v>55616.5879402414</v>
      </c>
      <c r="W38" s="362" t="n">
        <f aca="false">'HC-PO'!W70</f>
        <v>55616.5879402414</v>
      </c>
      <c r="X38" s="362" t="n">
        <f aca="false">'HC-PO'!X70</f>
        <v>55616.5879402414</v>
      </c>
      <c r="Y38" s="362"/>
      <c r="Z38" s="362" t="n">
        <f aca="false">SUM(M38:X38)</f>
        <v>652819.949706328</v>
      </c>
    </row>
    <row r="39" customFormat="false" ht="14.4" hidden="false" customHeight="false" outlineLevel="0" collapsed="false">
      <c r="B39" s="0" t="s">
        <v>710</v>
      </c>
      <c r="C39" s="0" t="s">
        <v>2291</v>
      </c>
      <c r="D39" s="0" t="s">
        <v>3148</v>
      </c>
      <c r="I39" s="362" t="n">
        <f aca="false">'HC-FO'!I70</f>
        <v>110942.724703173</v>
      </c>
      <c r="J39" s="362" t="n">
        <f aca="false">'HC-FO'!J70</f>
        <v>110942.724703173</v>
      </c>
      <c r="K39" s="362" t="n">
        <f aca="false">'HC-FO'!K70</f>
        <v>110942.724703173</v>
      </c>
      <c r="L39" s="362" t="n">
        <f aca="false">'HC-FO'!L70</f>
        <v>110942.724703173</v>
      </c>
      <c r="M39" s="362" t="n">
        <f aca="false">'HC-FO'!M70</f>
        <v>110942.724703173</v>
      </c>
      <c r="N39" s="362" t="n">
        <f aca="false">'HC-FO'!N70</f>
        <v>110942.724703173</v>
      </c>
      <c r="O39" s="362" t="n">
        <f aca="false">'HC-FO'!O70</f>
        <v>110942.724703173</v>
      </c>
      <c r="P39" s="362" t="n">
        <f aca="false">'HC-FO'!P70</f>
        <v>110942.724703173</v>
      </c>
      <c r="Q39" s="362" t="n">
        <f aca="false">'HC-FO'!Q70</f>
        <v>110942.724703173</v>
      </c>
      <c r="R39" s="362" t="n">
        <f aca="false">'HC-FO'!R70</f>
        <v>110942.724703173</v>
      </c>
      <c r="S39" s="362" t="n">
        <f aca="false">'HC-FO'!S70</f>
        <v>110942.724703173</v>
      </c>
      <c r="T39" s="362" t="n">
        <f aca="false">'HC-FO'!T70</f>
        <v>110942.724703173</v>
      </c>
      <c r="U39" s="362" t="n">
        <f aca="false">'HC-FO'!U70</f>
        <v>110942.724703173</v>
      </c>
      <c r="V39" s="362" t="n">
        <f aca="false">'HC-FO'!V70</f>
        <v>114271.006444268</v>
      </c>
      <c r="W39" s="362" t="n">
        <f aca="false">'HC-FO'!W70</f>
        <v>114271.006444268</v>
      </c>
      <c r="X39" s="362" t="n">
        <f aca="false">'HC-FO'!X70</f>
        <v>114271.006444268</v>
      </c>
      <c r="Y39" s="362"/>
      <c r="Z39" s="362" t="n">
        <f aca="false">SUM(M39:X39)</f>
        <v>1341297.54166136</v>
      </c>
    </row>
    <row r="40" customFormat="false" ht="14.4" hidden="false" customHeight="false" outlineLevel="0" collapsed="false">
      <c r="B40" s="0" t="s">
        <v>717</v>
      </c>
      <c r="C40" s="0" t="s">
        <v>2321</v>
      </c>
      <c r="D40" s="0" t="s">
        <v>3149</v>
      </c>
      <c r="I40" s="362" t="n">
        <f aca="false">'HC-FE'!I70</f>
        <v>62200.3286363956</v>
      </c>
      <c r="J40" s="362" t="n">
        <f aca="false">'HC-FE'!J70</f>
        <v>62200.3286363956</v>
      </c>
      <c r="K40" s="362" t="n">
        <f aca="false">'HC-FE'!K70</f>
        <v>62200.3286363956</v>
      </c>
      <c r="L40" s="362" t="n">
        <f aca="false">'HC-FE'!L70</f>
        <v>75184.4087727</v>
      </c>
      <c r="M40" s="362" t="n">
        <f aca="false">'HC-FE'!M70</f>
        <v>75184.4087727</v>
      </c>
      <c r="N40" s="362" t="n">
        <f aca="false">'HC-FE'!N70</f>
        <v>75184.4087727</v>
      </c>
      <c r="O40" s="362" t="n">
        <f aca="false">'HC-FE'!O70</f>
        <v>75184.4087727</v>
      </c>
      <c r="P40" s="362" t="n">
        <f aca="false">'HC-FE'!P70</f>
        <v>75184.4087727</v>
      </c>
      <c r="Q40" s="362" t="n">
        <f aca="false">'HC-FE'!Q70</f>
        <v>75184.4087727</v>
      </c>
      <c r="R40" s="362" t="n">
        <f aca="false">'HC-FE'!R70</f>
        <v>75184.4087727</v>
      </c>
      <c r="S40" s="362" t="n">
        <f aca="false">'HC-FE'!S70</f>
        <v>75184.4087727</v>
      </c>
      <c r="T40" s="362" t="n">
        <f aca="false">'HC-FE'!T70</f>
        <v>75184.4087727</v>
      </c>
      <c r="U40" s="362" t="n">
        <f aca="false">'HC-FE'!U70</f>
        <v>75184.4087727</v>
      </c>
      <c r="V40" s="362" t="n">
        <f aca="false">'HC-FE'!V70</f>
        <v>77439.941035881</v>
      </c>
      <c r="W40" s="362" t="n">
        <f aca="false">'HC-FE'!W70</f>
        <v>77439.941035881</v>
      </c>
      <c r="X40" s="362" t="n">
        <f aca="false">'HC-FE'!X70</f>
        <v>77439.941035881</v>
      </c>
      <c r="Y40" s="362"/>
      <c r="Z40" s="362" t="n">
        <f aca="false">SUM(M40:X40)</f>
        <v>908979.502061943</v>
      </c>
    </row>
    <row r="41" customFormat="false" ht="14.4" hidden="false" customHeight="false" outlineLevel="0" collapsed="false">
      <c r="B41" s="0" t="s">
        <v>718</v>
      </c>
      <c r="C41" s="0" t="s">
        <v>2322</v>
      </c>
      <c r="D41" s="0" t="s">
        <v>3149</v>
      </c>
      <c r="I41" s="362" t="n">
        <f aca="false">'HC-PE'!I70</f>
        <v>100218.138196848</v>
      </c>
      <c r="J41" s="362" t="n">
        <f aca="false">'HC-PE'!J70</f>
        <v>100218.138196848</v>
      </c>
      <c r="K41" s="362" t="n">
        <f aca="false">'HC-PE'!K70</f>
        <v>100218.138196848</v>
      </c>
      <c r="L41" s="362" t="n">
        <f aca="false">'HC-PE'!L70</f>
        <v>100218.138196848</v>
      </c>
      <c r="M41" s="362" t="n">
        <f aca="false">'HC-PE'!M70</f>
        <v>100218.138196848</v>
      </c>
      <c r="N41" s="362" t="n">
        <f aca="false">'HC-PE'!N70</f>
        <v>100218.138196848</v>
      </c>
      <c r="O41" s="362" t="n">
        <f aca="false">'HC-PE'!O70</f>
        <v>100218.138196848</v>
      </c>
      <c r="P41" s="362" t="n">
        <f aca="false">'HC-PE'!P70</f>
        <v>100218.138196848</v>
      </c>
      <c r="Q41" s="362" t="n">
        <f aca="false">'HC-PE'!Q70</f>
        <v>100218.138196848</v>
      </c>
      <c r="R41" s="362" t="n">
        <f aca="false">'HC-PE'!R70</f>
        <v>100218.138196848</v>
      </c>
      <c r="S41" s="362" t="n">
        <f aca="false">'HC-PE'!S70</f>
        <v>100218.138196848</v>
      </c>
      <c r="T41" s="362" t="n">
        <f aca="false">'HC-PE'!T70</f>
        <v>100218.138196848</v>
      </c>
      <c r="U41" s="362" t="n">
        <f aca="false">'HC-PE'!U70</f>
        <v>100218.138196848</v>
      </c>
      <c r="V41" s="362" t="n">
        <f aca="false">'HC-PE'!V70</f>
        <v>103224.682342753</v>
      </c>
      <c r="W41" s="362" t="n">
        <f aca="false">'HC-PE'!W70</f>
        <v>103224.682342753</v>
      </c>
      <c r="X41" s="362" t="n">
        <f aca="false">'HC-PE'!X70</f>
        <v>103224.682342753</v>
      </c>
      <c r="Y41" s="362"/>
      <c r="Z41" s="362" t="n">
        <f aca="false">SUM(M41:X41)</f>
        <v>1211637.29079989</v>
      </c>
    </row>
    <row r="42" customFormat="false" ht="14.4" hidden="false" customHeight="false" outlineLevel="0" collapsed="false">
      <c r="B42" s="0" t="s">
        <v>715</v>
      </c>
      <c r="C42" s="0" t="s">
        <v>221</v>
      </c>
      <c r="D42" s="0" t="s">
        <v>3149</v>
      </c>
      <c r="I42" s="362" t="n">
        <f aca="false">'HC-CO'!I70</f>
        <v>42411.5861473914</v>
      </c>
      <c r="J42" s="362" t="n">
        <f aca="false">'HC-CO'!J70</f>
        <v>51196.1307537489</v>
      </c>
      <c r="K42" s="362" t="n">
        <f aca="false">'HC-CO'!K70</f>
        <v>51196.1307537489</v>
      </c>
      <c r="L42" s="362" t="n">
        <f aca="false">'HC-CO'!L70</f>
        <v>51196.1307537489</v>
      </c>
      <c r="M42" s="362" t="n">
        <f aca="false">'HC-CO'!M70</f>
        <v>61932.7963837413</v>
      </c>
      <c r="N42" s="362" t="n">
        <f aca="false">'HC-CO'!N70</f>
        <v>61932.7963837413</v>
      </c>
      <c r="O42" s="362" t="n">
        <f aca="false">'HC-CO'!O70</f>
        <v>61932.7963837413</v>
      </c>
      <c r="P42" s="362" t="n">
        <f aca="false">'HC-CO'!P70</f>
        <v>61932.7963837413</v>
      </c>
      <c r="Q42" s="362" t="n">
        <f aca="false">'HC-CO'!Q70</f>
        <v>61932.7963837413</v>
      </c>
      <c r="R42" s="362" t="n">
        <f aca="false">'HC-CO'!R70</f>
        <v>61932.7963837413</v>
      </c>
      <c r="S42" s="362" t="n">
        <f aca="false">'HC-CO'!S70</f>
        <v>61932.7963837413</v>
      </c>
      <c r="T42" s="362" t="n">
        <f aca="false">'HC-CO'!T70</f>
        <v>61932.7963837413</v>
      </c>
      <c r="U42" s="362" t="n">
        <f aca="false">'HC-CO'!U70</f>
        <v>61932.7963837413</v>
      </c>
      <c r="V42" s="362" t="n">
        <f aca="false">'HC-CO'!V70</f>
        <v>63790.7802752536</v>
      </c>
      <c r="W42" s="362" t="n">
        <f aca="false">'HC-CO'!W70</f>
        <v>63790.7802752536</v>
      </c>
      <c r="X42" s="362" t="n">
        <f aca="false">'HC-CO'!X70</f>
        <v>63790.7802752536</v>
      </c>
      <c r="Y42" s="362"/>
      <c r="Z42" s="362" t="n">
        <f aca="false">SUM(M42:X42)</f>
        <v>748767.508279433</v>
      </c>
    </row>
    <row r="43" customFormat="false" ht="14.4" hidden="false" customHeight="false" outlineLevel="0" collapsed="false">
      <c r="B43" s="364" t="s">
        <v>3153</v>
      </c>
      <c r="C43" s="364"/>
      <c r="D43" s="364"/>
      <c r="E43" s="364"/>
      <c r="F43" s="364"/>
      <c r="G43" s="364"/>
      <c r="H43" s="364"/>
      <c r="I43" s="365" t="n">
        <f aca="false">SUM(I38:I42)</f>
        <v>369769.46500443</v>
      </c>
      <c r="J43" s="365" t="n">
        <f aca="false">SUM(J38:J42)</f>
        <v>378554.009610788</v>
      </c>
      <c r="K43" s="365" t="n">
        <f aca="false">SUM(K38:K42)</f>
        <v>378554.009610788</v>
      </c>
      <c r="L43" s="365" t="n">
        <f aca="false">SUM(L38:L42)</f>
        <v>391538.089747092</v>
      </c>
      <c r="M43" s="365" t="n">
        <f aca="false">SUM(M38:M42)</f>
        <v>402274.755377085</v>
      </c>
      <c r="N43" s="365" t="n">
        <f aca="false">SUM(N38:N42)</f>
        <v>402274.755377085</v>
      </c>
      <c r="O43" s="365" t="n">
        <f aca="false">SUM(O38:O42)</f>
        <v>402274.755377085</v>
      </c>
      <c r="P43" s="365" t="n">
        <f aca="false">SUM(P38:P42)</f>
        <v>402274.755377085</v>
      </c>
      <c r="Q43" s="365" t="n">
        <f aca="false">SUM(Q38:Q42)</f>
        <v>402274.755377085</v>
      </c>
      <c r="R43" s="365" t="n">
        <f aca="false">SUM(R38:R42)</f>
        <v>402274.755377085</v>
      </c>
      <c r="S43" s="365" t="n">
        <f aca="false">SUM(S38:S42)</f>
        <v>402274.755377085</v>
      </c>
      <c r="T43" s="365" t="n">
        <f aca="false">SUM(T38:T42)</f>
        <v>402274.755377085</v>
      </c>
      <c r="U43" s="365" t="n">
        <f aca="false">SUM(U38:U42)</f>
        <v>402274.755377085</v>
      </c>
      <c r="V43" s="365" t="n">
        <f aca="false">SUM(V38:V42)</f>
        <v>414342.998038397</v>
      </c>
      <c r="W43" s="365" t="n">
        <f aca="false">SUM(W38:W42)</f>
        <v>414342.998038397</v>
      </c>
      <c r="X43" s="365" t="n">
        <f aca="false">SUM(X38:X42)</f>
        <v>414342.998038397</v>
      </c>
      <c r="Y43" s="365"/>
      <c r="Z43" s="365" t="n">
        <f aca="false">SUM(M43:X43)</f>
        <v>4863501.79250895</v>
      </c>
    </row>
    <row r="45" customFormat="false" ht="14.4" hidden="false" customHeight="false" outlineLevel="0" collapsed="false">
      <c r="B45" s="317" t="s">
        <v>3154</v>
      </c>
      <c r="C45" s="317"/>
      <c r="D45" s="317"/>
    </row>
    <row r="46" customFormat="false" ht="14.4" hidden="false" customHeight="false" outlineLevel="0" collapsed="false">
      <c r="B46" s="0" t="s">
        <v>3148</v>
      </c>
      <c r="I46" s="362" t="n">
        <f aca="false">SUMIF($D$38:$D$42,$B46,I$38:I$42)</f>
        <v>164939.412023795</v>
      </c>
      <c r="J46" s="362" t="n">
        <f aca="false">SUMIF($D$38:$D$42,$B46,J$38:J$42)</f>
        <v>164939.412023795</v>
      </c>
      <c r="K46" s="362" t="n">
        <f aca="false">SUMIF($D$38:$D$42,$B46,K$38:K$42)</f>
        <v>164939.412023795</v>
      </c>
      <c r="L46" s="362" t="n">
        <f aca="false">SUMIF($D$38:$D$42,$B46,L$38:L$42)</f>
        <v>164939.412023795</v>
      </c>
      <c r="M46" s="362" t="n">
        <f aca="false">SUMIF($D$38:$D$42,$B46,M$38:M$42)</f>
        <v>164939.412023795</v>
      </c>
      <c r="N46" s="362" t="n">
        <f aca="false">SUMIF($D$38:$D$42,$B46,N$38:N$42)</f>
        <v>164939.412023795</v>
      </c>
      <c r="O46" s="362" t="n">
        <f aca="false">SUMIF($D$38:$D$42,$B46,O$38:O$42)</f>
        <v>164939.412023795</v>
      </c>
      <c r="P46" s="362" t="n">
        <f aca="false">SUMIF($D$38:$D$42,$B46,P$38:P$42)</f>
        <v>164939.412023795</v>
      </c>
      <c r="Q46" s="362" t="n">
        <f aca="false">SUMIF($D$38:$D$42,$B46,Q$38:Q$42)</f>
        <v>164939.412023795</v>
      </c>
      <c r="R46" s="362" t="n">
        <f aca="false">SUMIF($D$38:$D$42,$B46,R$38:R$42)</f>
        <v>164939.412023795</v>
      </c>
      <c r="S46" s="362" t="n">
        <f aca="false">SUMIF($D$38:$D$42,$B46,S$38:S$42)</f>
        <v>164939.412023795</v>
      </c>
      <c r="T46" s="362" t="n">
        <f aca="false">SUMIF($D$38:$D$42,$B46,T$38:T$42)</f>
        <v>164939.412023795</v>
      </c>
      <c r="U46" s="362" t="n">
        <f aca="false">SUMIF($D$38:$D$42,$B46,U$38:U$42)</f>
        <v>164939.412023795</v>
      </c>
      <c r="V46" s="362" t="n">
        <f aca="false">SUMIF($D$38:$D$42,$B46,V$38:V$42)</f>
        <v>169887.594384509</v>
      </c>
      <c r="W46" s="362" t="n">
        <f aca="false">SUMIF($D$38:$D$42,$B46,W$38:W$42)</f>
        <v>169887.594384509</v>
      </c>
      <c r="X46" s="362" t="n">
        <f aca="false">SUMIF($D$38:$D$42,$B46,X$38:X$42)</f>
        <v>169887.594384509</v>
      </c>
      <c r="Y46" s="362"/>
      <c r="Z46" s="362" t="n">
        <f aca="false">SUM(M46:X46)</f>
        <v>1994117.49136769</v>
      </c>
    </row>
    <row r="47" customFormat="false" ht="14.4" hidden="false" customHeight="false" outlineLevel="0" collapsed="false">
      <c r="B47" s="0" t="s">
        <v>3149</v>
      </c>
      <c r="I47" s="362" t="n">
        <f aca="false">SUMIF($D$38:$D$42,$B47,I$38:I$42)</f>
        <v>204830.052980635</v>
      </c>
      <c r="J47" s="362" t="n">
        <f aca="false">SUMIF($D$38:$D$42,$B47,J$38:J$42)</f>
        <v>213614.597586992</v>
      </c>
      <c r="K47" s="362" t="n">
        <f aca="false">SUMIF($D$38:$D$42,$B47,K$38:K$42)</f>
        <v>213614.597586992</v>
      </c>
      <c r="L47" s="362" t="n">
        <f aca="false">SUMIF($D$38:$D$42,$B47,L$38:L$42)</f>
        <v>226598.677723297</v>
      </c>
      <c r="M47" s="362" t="n">
        <f aca="false">SUMIF($D$38:$D$42,$B47,M$38:M$42)</f>
        <v>237335.343353289</v>
      </c>
      <c r="N47" s="362" t="n">
        <f aca="false">SUMIF($D$38:$D$42,$B47,N$38:N$42)</f>
        <v>237335.343353289</v>
      </c>
      <c r="O47" s="362" t="n">
        <f aca="false">SUMIF($D$38:$D$42,$B47,O$38:O$42)</f>
        <v>237335.343353289</v>
      </c>
      <c r="P47" s="362" t="n">
        <f aca="false">SUMIF($D$38:$D$42,$B47,P$38:P$42)</f>
        <v>237335.343353289</v>
      </c>
      <c r="Q47" s="362" t="n">
        <f aca="false">SUMIF($D$38:$D$42,$B47,Q$38:Q$42)</f>
        <v>237335.343353289</v>
      </c>
      <c r="R47" s="362" t="n">
        <f aca="false">SUMIF($D$38:$D$42,$B47,R$38:R$42)</f>
        <v>237335.343353289</v>
      </c>
      <c r="S47" s="362" t="n">
        <f aca="false">SUMIF($D$38:$D$42,$B47,S$38:S$42)</f>
        <v>237335.343353289</v>
      </c>
      <c r="T47" s="362" t="n">
        <f aca="false">SUMIF($D$38:$D$42,$B47,T$38:T$42)</f>
        <v>237335.343353289</v>
      </c>
      <c r="U47" s="362" t="n">
        <f aca="false">SUMIF($D$38:$D$42,$B47,U$38:U$42)</f>
        <v>237335.343353289</v>
      </c>
      <c r="V47" s="362" t="n">
        <f aca="false">SUMIF($D$38:$D$42,$B47,V$38:V$42)</f>
        <v>244455.403653888</v>
      </c>
      <c r="W47" s="362" t="n">
        <f aca="false">SUMIF($D$38:$D$42,$B47,W$38:W$42)</f>
        <v>244455.403653888</v>
      </c>
      <c r="X47" s="362" t="n">
        <f aca="false">SUMIF($D$38:$D$42,$B47,X$38:X$42)</f>
        <v>244455.403653888</v>
      </c>
      <c r="Y47" s="362"/>
      <c r="Z47" s="362" t="n">
        <f aca="false">SUM(M47:X47)</f>
        <v>2869384.30114127</v>
      </c>
    </row>
    <row r="48" customFormat="false" ht="14.4" hidden="false" customHeight="false" outlineLevel="0" collapsed="false">
      <c r="B48" s="364" t="s">
        <v>3155</v>
      </c>
      <c r="C48" s="364"/>
      <c r="D48" s="364"/>
      <c r="E48" s="364"/>
      <c r="F48" s="364"/>
      <c r="G48" s="364"/>
      <c r="H48" s="364"/>
      <c r="I48" s="365" t="n">
        <f aca="false">SUM(I46:I47)</f>
        <v>369769.46500443</v>
      </c>
      <c r="J48" s="365" t="n">
        <f aca="false">SUM(J46:J47)</f>
        <v>378554.009610788</v>
      </c>
      <c r="K48" s="365" t="n">
        <f aca="false">SUM(K46:K47)</f>
        <v>378554.009610788</v>
      </c>
      <c r="L48" s="365" t="n">
        <f aca="false">SUM(L46:L47)</f>
        <v>391538.089747092</v>
      </c>
      <c r="M48" s="365" t="n">
        <f aca="false">SUM(M46:M47)</f>
        <v>402274.755377085</v>
      </c>
      <c r="N48" s="365" t="n">
        <f aca="false">SUM(N46:N47)</f>
        <v>402274.755377085</v>
      </c>
      <c r="O48" s="365" t="n">
        <f aca="false">SUM(O46:O47)</f>
        <v>402274.755377085</v>
      </c>
      <c r="P48" s="365" t="n">
        <f aca="false">SUM(P46:P47)</f>
        <v>402274.755377085</v>
      </c>
      <c r="Q48" s="365" t="n">
        <f aca="false">SUM(Q46:Q47)</f>
        <v>402274.755377085</v>
      </c>
      <c r="R48" s="365" t="n">
        <f aca="false">SUM(R46:R47)</f>
        <v>402274.755377085</v>
      </c>
      <c r="S48" s="365" t="n">
        <f aca="false">SUM(S46:S47)</f>
        <v>402274.755377085</v>
      </c>
      <c r="T48" s="365" t="n">
        <f aca="false">SUM(T46:T47)</f>
        <v>402274.755377085</v>
      </c>
      <c r="U48" s="365" t="n">
        <f aca="false">SUM(U46:U47)</f>
        <v>402274.755377085</v>
      </c>
      <c r="V48" s="365" t="n">
        <f aca="false">SUM(V46:V47)</f>
        <v>414342.998038397</v>
      </c>
      <c r="W48" s="365" t="n">
        <f aca="false">SUM(W46:W47)</f>
        <v>414342.998038397</v>
      </c>
      <c r="X48" s="365" t="n">
        <f aca="false">SUM(X46:X47)</f>
        <v>414342.998038397</v>
      </c>
      <c r="Y48" s="365"/>
      <c r="Z48" s="365" t="n">
        <f aca="false">SUM(M48:X48)</f>
        <v>4863501.79250895</v>
      </c>
    </row>
    <row r="49" customFormat="false" ht="14.4" hidden="false" customHeight="false" outlineLevel="0" collapsed="false">
      <c r="B49" s="366" t="s">
        <v>3156</v>
      </c>
      <c r="C49" s="366"/>
      <c r="D49" s="366"/>
      <c r="E49" s="366"/>
      <c r="F49" s="366"/>
      <c r="G49" s="366"/>
      <c r="H49" s="366"/>
      <c r="I49" s="362" t="n">
        <f aca="false">I48-I43</f>
        <v>0</v>
      </c>
      <c r="J49" s="362" t="n">
        <f aca="false">J48-J43</f>
        <v>0</v>
      </c>
      <c r="K49" s="362" t="n">
        <f aca="false">K48-K43</f>
        <v>0</v>
      </c>
      <c r="L49" s="362" t="n">
        <f aca="false">L48-L43</f>
        <v>0</v>
      </c>
      <c r="M49" s="362" t="n">
        <f aca="false">M48-M43</f>
        <v>0</v>
      </c>
      <c r="N49" s="362" t="n">
        <f aca="false">N48-N43</f>
        <v>0</v>
      </c>
      <c r="O49" s="362" t="n">
        <f aca="false">O48-O43</f>
        <v>0</v>
      </c>
      <c r="P49" s="362" t="n">
        <f aca="false">P48-P43</f>
        <v>0</v>
      </c>
      <c r="Q49" s="362" t="n">
        <f aca="false">Q48-Q43</f>
        <v>0</v>
      </c>
      <c r="R49" s="362" t="n">
        <f aca="false">R48-R43</f>
        <v>0</v>
      </c>
      <c r="S49" s="362" t="n">
        <f aca="false">S48-S43</f>
        <v>0</v>
      </c>
      <c r="T49" s="362" t="n">
        <f aca="false">T48-T43</f>
        <v>0</v>
      </c>
      <c r="U49" s="362" t="n">
        <f aca="false">U48-U43</f>
        <v>0</v>
      </c>
      <c r="V49" s="362" t="n">
        <f aca="false">V48-V43</f>
        <v>0</v>
      </c>
      <c r="W49" s="362" t="n">
        <f aca="false">W48-W43</f>
        <v>0</v>
      </c>
      <c r="X49" s="362" t="n">
        <f aca="false">X48-X43</f>
        <v>0</v>
      </c>
      <c r="Y49" s="362"/>
      <c r="Z49" s="362"/>
    </row>
    <row r="51" customFormat="false" ht="14.4" hidden="false" customHeight="false" outlineLevel="0" collapsed="false">
      <c r="B51" s="317" t="s">
        <v>3157</v>
      </c>
      <c r="C51" s="317"/>
      <c r="D51" s="317"/>
    </row>
    <row r="52" customFormat="false" ht="14.4" hidden="false" customHeight="false" outlineLevel="0" collapsed="false">
      <c r="B52" s="0" t="s">
        <v>712</v>
      </c>
      <c r="C52" s="0" t="s">
        <v>2298</v>
      </c>
      <c r="I52" s="362" t="n">
        <f aca="false">SUM('HC-PO'!I52:I57)</f>
        <v>0</v>
      </c>
      <c r="J52" s="362" t="n">
        <f aca="false">SUM('HC-PO'!J52:J57)</f>
        <v>0</v>
      </c>
      <c r="K52" s="362" t="n">
        <f aca="false">SUM('HC-PO'!K52:K57)</f>
        <v>0</v>
      </c>
      <c r="L52" s="362" t="n">
        <f aca="false">SUM('HC-PO'!L52:L57)</f>
        <v>0</v>
      </c>
      <c r="M52" s="362" t="n">
        <f aca="false">SUM('HC-PO'!M52:M57)</f>
        <v>0</v>
      </c>
      <c r="N52" s="362" t="n">
        <f aca="false">SUM('HC-PO'!N52:N57)</f>
        <v>0</v>
      </c>
      <c r="O52" s="362" t="n">
        <f aca="false">SUM('HC-PO'!O52:O57)</f>
        <v>0</v>
      </c>
      <c r="P52" s="362" t="n">
        <f aca="false">SUM('HC-PO'!P52:P57)</f>
        <v>0</v>
      </c>
      <c r="Q52" s="362" t="n">
        <f aca="false">SUM('HC-PO'!Q52:Q57)</f>
        <v>0</v>
      </c>
      <c r="R52" s="362" t="n">
        <f aca="false">SUM('HC-PO'!R52:R57)</f>
        <v>0</v>
      </c>
      <c r="S52" s="362" t="n">
        <f aca="false">SUM('HC-PO'!S52:S57)</f>
        <v>0</v>
      </c>
      <c r="T52" s="362" t="n">
        <f aca="false">SUM('HC-PO'!T52:T57)</f>
        <v>0</v>
      </c>
      <c r="U52" s="362" t="n">
        <f aca="false">SUM('HC-PO'!U52:U57)</f>
        <v>0</v>
      </c>
      <c r="V52" s="362" t="n">
        <f aca="false">SUM('HC-PO'!V52:V57)</f>
        <v>0</v>
      </c>
      <c r="W52" s="362" t="n">
        <f aca="false">SUM('HC-PO'!W52:W57)</f>
        <v>0</v>
      </c>
      <c r="X52" s="362" t="n">
        <f aca="false">SUM('HC-PO'!X52:X57)</f>
        <v>0</v>
      </c>
      <c r="Y52" s="362"/>
      <c r="Z52" s="362" t="n">
        <f aca="false">SUM(M52:X52)</f>
        <v>0</v>
      </c>
    </row>
    <row r="53" customFormat="false" ht="14.4" hidden="false" customHeight="false" outlineLevel="0" collapsed="false">
      <c r="B53" s="0" t="s">
        <v>710</v>
      </c>
      <c r="C53" s="0" t="s">
        <v>2291</v>
      </c>
      <c r="I53" s="362" t="n">
        <f aca="false">SUM('HC-FO'!I52:I57)</f>
        <v>0</v>
      </c>
      <c r="J53" s="362" t="n">
        <f aca="false">SUM('HC-FO'!J52:J57)</f>
        <v>0</v>
      </c>
      <c r="K53" s="362" t="n">
        <f aca="false">SUM('HC-FO'!K52:K57)</f>
        <v>0</v>
      </c>
      <c r="L53" s="362" t="n">
        <f aca="false">SUM('HC-FO'!L52:L57)</f>
        <v>0</v>
      </c>
      <c r="M53" s="362" t="n">
        <f aca="false">SUM('HC-FO'!M52:M57)</f>
        <v>0</v>
      </c>
      <c r="N53" s="362" t="n">
        <f aca="false">SUM('HC-FO'!N52:N57)</f>
        <v>0</v>
      </c>
      <c r="O53" s="362" t="n">
        <f aca="false">SUM('HC-FO'!O52:O57)</f>
        <v>0</v>
      </c>
      <c r="P53" s="362" t="n">
        <f aca="false">SUM('HC-FO'!P52:P57)</f>
        <v>0</v>
      </c>
      <c r="Q53" s="362" t="n">
        <f aca="false">SUM('HC-FO'!Q52:Q57)</f>
        <v>0</v>
      </c>
      <c r="R53" s="362" t="n">
        <f aca="false">SUM('HC-FO'!R52:R57)</f>
        <v>0</v>
      </c>
      <c r="S53" s="362" t="n">
        <f aca="false">SUM('HC-FO'!S52:S57)</f>
        <v>0</v>
      </c>
      <c r="T53" s="362" t="n">
        <f aca="false">SUM('HC-FO'!T52:T57)</f>
        <v>0</v>
      </c>
      <c r="U53" s="362" t="n">
        <f aca="false">SUM('HC-FO'!U52:U57)</f>
        <v>0</v>
      </c>
      <c r="V53" s="362" t="n">
        <f aca="false">SUM('HC-FO'!V52:V57)</f>
        <v>0</v>
      </c>
      <c r="W53" s="362" t="n">
        <f aca="false">SUM('HC-FO'!W52:W57)</f>
        <v>0</v>
      </c>
      <c r="X53" s="362" t="n">
        <f aca="false">SUM('HC-FO'!X52:X57)</f>
        <v>0</v>
      </c>
      <c r="Y53" s="362"/>
      <c r="Z53" s="362" t="n">
        <f aca="false">SUM(M53:X53)</f>
        <v>0</v>
      </c>
    </row>
    <row r="54" customFormat="false" ht="14.4" hidden="false" customHeight="false" outlineLevel="0" collapsed="false">
      <c r="B54" s="0" t="s">
        <v>717</v>
      </c>
      <c r="C54" s="0" t="s">
        <v>2321</v>
      </c>
      <c r="I54" s="362" t="n">
        <f aca="false">SUM('HC-FE'!I52:I57)</f>
        <v>0</v>
      </c>
      <c r="J54" s="362" t="n">
        <f aca="false">SUM('HC-FE'!J52:J57)</f>
        <v>0</v>
      </c>
      <c r="K54" s="362" t="n">
        <f aca="false">SUM('HC-FE'!K52:K57)</f>
        <v>0</v>
      </c>
      <c r="L54" s="362" t="n">
        <f aca="false">SUM('HC-FE'!L52:L57)</f>
        <v>0</v>
      </c>
      <c r="M54" s="362" t="n">
        <f aca="false">SUM('HC-FE'!M52:M57)</f>
        <v>0</v>
      </c>
      <c r="N54" s="362" t="n">
        <f aca="false">SUM('HC-FE'!N52:N57)</f>
        <v>0</v>
      </c>
      <c r="O54" s="362" t="n">
        <f aca="false">SUM('HC-FE'!O52:O57)</f>
        <v>0</v>
      </c>
      <c r="P54" s="362" t="n">
        <f aca="false">SUM('HC-FE'!P52:P57)</f>
        <v>0</v>
      </c>
      <c r="Q54" s="362" t="n">
        <f aca="false">SUM('HC-FE'!Q52:Q57)</f>
        <v>0</v>
      </c>
      <c r="R54" s="362" t="n">
        <f aca="false">SUM('HC-FE'!R52:R57)</f>
        <v>0</v>
      </c>
      <c r="S54" s="362" t="n">
        <f aca="false">SUM('HC-FE'!S52:S57)</f>
        <v>0</v>
      </c>
      <c r="T54" s="362" t="n">
        <f aca="false">SUM('HC-FE'!T52:T57)</f>
        <v>0</v>
      </c>
      <c r="U54" s="362" t="n">
        <f aca="false">SUM('HC-FE'!U52:U57)</f>
        <v>0</v>
      </c>
      <c r="V54" s="362" t="n">
        <f aca="false">SUM('HC-FE'!V52:V57)</f>
        <v>0</v>
      </c>
      <c r="W54" s="362" t="n">
        <f aca="false">SUM('HC-FE'!W52:W57)</f>
        <v>0</v>
      </c>
      <c r="X54" s="362" t="n">
        <f aca="false">SUM('HC-FE'!X52:X57)</f>
        <v>0</v>
      </c>
      <c r="Y54" s="362"/>
      <c r="Z54" s="362" t="n">
        <f aca="false">SUM(M54:X54)</f>
        <v>0</v>
      </c>
    </row>
    <row r="55" customFormat="false" ht="14.4" hidden="false" customHeight="false" outlineLevel="0" collapsed="false">
      <c r="B55" s="0" t="s">
        <v>718</v>
      </c>
      <c r="C55" s="0" t="s">
        <v>2322</v>
      </c>
      <c r="I55" s="362" t="n">
        <f aca="false">SUM('HC-PE'!I52:I57)</f>
        <v>0</v>
      </c>
      <c r="J55" s="362" t="n">
        <f aca="false">SUM('HC-PE'!J52:J57)</f>
        <v>0</v>
      </c>
      <c r="K55" s="362" t="n">
        <f aca="false">SUM('HC-PE'!K52:K57)</f>
        <v>0</v>
      </c>
      <c r="L55" s="362" t="n">
        <f aca="false">SUM('HC-PE'!L52:L57)</f>
        <v>0</v>
      </c>
      <c r="M55" s="362" t="n">
        <f aca="false">SUM('HC-PE'!M52:M57)</f>
        <v>0</v>
      </c>
      <c r="N55" s="362" t="n">
        <f aca="false">SUM('HC-PE'!N52:N57)</f>
        <v>0</v>
      </c>
      <c r="O55" s="362" t="n">
        <f aca="false">SUM('HC-PE'!O52:O57)</f>
        <v>0</v>
      </c>
      <c r="P55" s="362" t="n">
        <f aca="false">SUM('HC-PE'!P52:P57)</f>
        <v>0</v>
      </c>
      <c r="Q55" s="362" t="n">
        <f aca="false">SUM('HC-PE'!Q52:Q57)</f>
        <v>0</v>
      </c>
      <c r="R55" s="362" t="n">
        <f aca="false">SUM('HC-PE'!R52:R57)</f>
        <v>0</v>
      </c>
      <c r="S55" s="362" t="n">
        <f aca="false">SUM('HC-PE'!S52:S57)</f>
        <v>0</v>
      </c>
      <c r="T55" s="362" t="n">
        <f aca="false">SUM('HC-PE'!T52:T57)</f>
        <v>0</v>
      </c>
      <c r="U55" s="362" t="n">
        <f aca="false">SUM('HC-PE'!U52:U57)</f>
        <v>0</v>
      </c>
      <c r="V55" s="362" t="n">
        <f aca="false">SUM('HC-PE'!V52:V57)</f>
        <v>0</v>
      </c>
      <c r="W55" s="362" t="n">
        <f aca="false">SUM('HC-PE'!W52:W57)</f>
        <v>0</v>
      </c>
      <c r="X55" s="362" t="n">
        <f aca="false">SUM('HC-PE'!X52:X57)</f>
        <v>0</v>
      </c>
      <c r="Y55" s="362"/>
      <c r="Z55" s="362" t="n">
        <f aca="false">SUM(M55:X55)</f>
        <v>0</v>
      </c>
    </row>
    <row r="56" customFormat="false" ht="14.4" hidden="false" customHeight="false" outlineLevel="0" collapsed="false">
      <c r="B56" s="0" t="s">
        <v>715</v>
      </c>
      <c r="C56" s="0" t="s">
        <v>221</v>
      </c>
      <c r="I56" s="362" t="n">
        <f aca="false">SUM('HC-CO'!I52:I57)</f>
        <v>0</v>
      </c>
      <c r="J56" s="362" t="n">
        <f aca="false">SUM('HC-CO'!J52:J57)</f>
        <v>0</v>
      </c>
      <c r="K56" s="362" t="n">
        <f aca="false">SUM('HC-CO'!K52:K57)</f>
        <v>0</v>
      </c>
      <c r="L56" s="362" t="n">
        <f aca="false">SUM('HC-CO'!L52:L57)</f>
        <v>0</v>
      </c>
      <c r="M56" s="362" t="n">
        <f aca="false">SUM('HC-CO'!M52:M57)</f>
        <v>0</v>
      </c>
      <c r="N56" s="362" t="n">
        <f aca="false">SUM('HC-CO'!N52:N57)</f>
        <v>0</v>
      </c>
      <c r="O56" s="362" t="n">
        <f aca="false">SUM('HC-CO'!O52:O57)</f>
        <v>0</v>
      </c>
      <c r="P56" s="362" t="n">
        <f aca="false">SUM('HC-CO'!P52:P57)</f>
        <v>0</v>
      </c>
      <c r="Q56" s="362" t="n">
        <f aca="false">SUM('HC-CO'!Q52:Q57)</f>
        <v>0</v>
      </c>
      <c r="R56" s="362" t="n">
        <f aca="false">SUM('HC-CO'!R52:R57)</f>
        <v>0</v>
      </c>
      <c r="S56" s="362" t="n">
        <f aca="false">SUM('HC-CO'!S52:S57)</f>
        <v>0</v>
      </c>
      <c r="T56" s="362" t="n">
        <f aca="false">SUM('HC-CO'!T52:T57)</f>
        <v>0</v>
      </c>
      <c r="U56" s="362" t="n">
        <f aca="false">SUM('HC-CO'!U52:U57)</f>
        <v>0</v>
      </c>
      <c r="V56" s="362" t="n">
        <f aca="false">SUM('HC-CO'!V52:V57)</f>
        <v>0</v>
      </c>
      <c r="W56" s="362" t="n">
        <f aca="false">SUM('HC-CO'!W52:W57)</f>
        <v>0</v>
      </c>
      <c r="X56" s="362" t="n">
        <f aca="false">SUM('HC-CO'!X52:X57)</f>
        <v>0</v>
      </c>
      <c r="Y56" s="362"/>
      <c r="Z56" s="362" t="n">
        <f aca="false">SUM(M56:X56)</f>
        <v>0</v>
      </c>
    </row>
    <row r="57" customFormat="false" ht="14.4" hidden="false" customHeight="false" outlineLevel="0" collapsed="false">
      <c r="B57" s="342" t="s">
        <v>3158</v>
      </c>
      <c r="C57" s="342"/>
      <c r="D57" s="342"/>
      <c r="E57" s="342"/>
      <c r="F57" s="342"/>
      <c r="G57" s="342"/>
      <c r="H57" s="342"/>
      <c r="I57" s="363" t="n">
        <f aca="false">SUM(I52:I56)</f>
        <v>0</v>
      </c>
      <c r="J57" s="363" t="n">
        <f aca="false">SUM(J52:J56)</f>
        <v>0</v>
      </c>
      <c r="K57" s="363" t="n">
        <f aca="false">SUM(K52:K56)</f>
        <v>0</v>
      </c>
      <c r="L57" s="363" t="n">
        <f aca="false">SUM(L52:L56)</f>
        <v>0</v>
      </c>
      <c r="M57" s="363" t="n">
        <f aca="false">SUM(M52:M56)</f>
        <v>0</v>
      </c>
      <c r="N57" s="363" t="n">
        <f aca="false">SUM(N52:N56)</f>
        <v>0</v>
      </c>
      <c r="O57" s="363" t="n">
        <f aca="false">SUM(O52:O56)</f>
        <v>0</v>
      </c>
      <c r="P57" s="363" t="n">
        <f aca="false">SUM(P52:P56)</f>
        <v>0</v>
      </c>
      <c r="Q57" s="363" t="n">
        <f aca="false">SUM(Q52:Q56)</f>
        <v>0</v>
      </c>
      <c r="R57" s="363" t="n">
        <f aca="false">SUM(R52:R56)</f>
        <v>0</v>
      </c>
      <c r="S57" s="363" t="n">
        <f aca="false">SUM(S52:S56)</f>
        <v>0</v>
      </c>
      <c r="T57" s="363" t="n">
        <f aca="false">SUM(T52:T56)</f>
        <v>0</v>
      </c>
      <c r="U57" s="363" t="n">
        <f aca="false">SUM(U52:U56)</f>
        <v>0</v>
      </c>
      <c r="V57" s="363" t="n">
        <f aca="false">SUM(V52:V56)</f>
        <v>0</v>
      </c>
      <c r="W57" s="363" t="n">
        <f aca="false">SUM(W52:W56)</f>
        <v>0</v>
      </c>
      <c r="X57" s="363" t="n">
        <f aca="false">SUM(X52:X56)</f>
        <v>0</v>
      </c>
      <c r="Y57" s="363"/>
      <c r="Z57" s="363" t="n">
        <f aca="false">SUM(M57:X57)</f>
        <v>0</v>
      </c>
    </row>
    <row r="59" customFormat="false" ht="14.4" hidden="false" customHeight="false" outlineLevel="0" collapsed="false">
      <c r="B59" s="317" t="s">
        <v>3159</v>
      </c>
      <c r="C59" s="317"/>
      <c r="D59" s="317"/>
    </row>
    <row r="60" customFormat="false" ht="14.4" hidden="false" customHeight="false" outlineLevel="0" collapsed="false">
      <c r="B60" s="0" t="s">
        <v>3160</v>
      </c>
      <c r="I60" s="367" t="n">
        <f aca="false">COUNTIF('HC-PO'!$E$52:$E$57,I$10)+COUNTIF('HC-FO'!$E$52:$E$57,I$10)+COUNTIF('HC-FE'!$E$52:$E$57,I$10)+COUNTIF('HC-PE'!$E$52:$E$57,I$10)+COUNTIF('HC-CO'!$E$52:$E$57,I$10)</f>
        <v>0</v>
      </c>
      <c r="J60" s="367" t="n">
        <f aca="false">COUNTIF('HC-PO'!$E$52:$E$57,J$10)+COUNTIF('HC-FO'!$E$52:$E$57,J$10)+COUNTIF('HC-FE'!$E$52:$E$57,J$10)+COUNTIF('HC-PE'!$E$52:$E$57,J$10)+COUNTIF('HC-CO'!$E$52:$E$57,J$10)</f>
        <v>0</v>
      </c>
      <c r="K60" s="367" t="n">
        <f aca="false">COUNTIF('HC-PO'!$E$52:$E$57,K$10)+COUNTIF('HC-FO'!$E$52:$E$57,K$10)+COUNTIF('HC-FE'!$E$52:$E$57,K$10)+COUNTIF('HC-PE'!$E$52:$E$57,K$10)+COUNTIF('HC-CO'!$E$52:$E$57,K$10)</f>
        <v>0</v>
      </c>
      <c r="L60" s="367" t="n">
        <f aca="false">COUNTIF('HC-PO'!$E$52:$E$57,L$10)+COUNTIF('HC-FO'!$E$52:$E$57,L$10)+COUNTIF('HC-FE'!$E$52:$E$57,L$10)+COUNTIF('HC-PE'!$E$52:$E$57,L$10)+COUNTIF('HC-CO'!$E$52:$E$57,L$10)</f>
        <v>0</v>
      </c>
      <c r="M60" s="367" t="n">
        <f aca="false">COUNTIF('HC-PO'!$E$52:$E$57,M$10)+COUNTIF('HC-FO'!$E$52:$E$57,M$10)+COUNTIF('HC-FE'!$E$52:$E$57,M$10)+COUNTIF('HC-PE'!$E$52:$E$57,M$10)+COUNTIF('HC-CO'!$E$52:$E$57,M$10)</f>
        <v>0</v>
      </c>
      <c r="N60" s="367" t="n">
        <f aca="false">COUNTIF('HC-PO'!$E$52:$E$57,N$10)+COUNTIF('HC-FO'!$E$52:$E$57,N$10)+COUNTIF('HC-FE'!$E$52:$E$57,N$10)+COUNTIF('HC-PE'!$E$52:$E$57,N$10)+COUNTIF('HC-CO'!$E$52:$E$57,N$10)</f>
        <v>0</v>
      </c>
      <c r="O60" s="367" t="n">
        <f aca="false">COUNTIF('HC-PO'!$E$52:$E$57,O$10)+COUNTIF('HC-FO'!$E$52:$E$57,O$10)+COUNTIF('HC-FE'!$E$52:$E$57,O$10)+COUNTIF('HC-PE'!$E$52:$E$57,O$10)+COUNTIF('HC-CO'!$E$52:$E$57,O$10)</f>
        <v>0</v>
      </c>
      <c r="P60" s="367" t="n">
        <f aca="false">COUNTIF('HC-PO'!$E$52:$E$57,P$10)+COUNTIF('HC-FO'!$E$52:$E$57,P$10)+COUNTIF('HC-FE'!$E$52:$E$57,P$10)+COUNTIF('HC-PE'!$E$52:$E$57,P$10)+COUNTIF('HC-CO'!$E$52:$E$57,P$10)</f>
        <v>0</v>
      </c>
      <c r="Q60" s="367" t="n">
        <f aca="false">COUNTIF('HC-PO'!$E$52:$E$57,Q$10)+COUNTIF('HC-FO'!$E$52:$E$57,Q$10)+COUNTIF('HC-FE'!$E$52:$E$57,Q$10)+COUNTIF('HC-PE'!$E$52:$E$57,Q$10)+COUNTIF('HC-CO'!$E$52:$E$57,Q$10)</f>
        <v>0</v>
      </c>
      <c r="R60" s="367" t="n">
        <f aca="false">COUNTIF('HC-PO'!$E$52:$E$57,R$10)+COUNTIF('HC-FO'!$E$52:$E$57,R$10)+COUNTIF('HC-FE'!$E$52:$E$57,R$10)+COUNTIF('HC-PE'!$E$52:$E$57,R$10)+COUNTIF('HC-CO'!$E$52:$E$57,R$10)</f>
        <v>0</v>
      </c>
      <c r="S60" s="367" t="n">
        <f aca="false">COUNTIF('HC-PO'!$E$52:$E$57,S$10)+COUNTIF('HC-FO'!$E$52:$E$57,S$10)+COUNTIF('HC-FE'!$E$52:$E$57,S$10)+COUNTIF('HC-PE'!$E$52:$E$57,S$10)+COUNTIF('HC-CO'!$E$52:$E$57,S$10)</f>
        <v>0</v>
      </c>
      <c r="T60" s="367" t="n">
        <f aca="false">COUNTIF('HC-PO'!$E$52:$E$57,T$10)+COUNTIF('HC-FO'!$E$52:$E$57,T$10)+COUNTIF('HC-FE'!$E$52:$E$57,T$10)+COUNTIF('HC-PE'!$E$52:$E$57,T$10)+COUNTIF('HC-CO'!$E$52:$E$57,T$10)</f>
        <v>0</v>
      </c>
      <c r="U60" s="367" t="n">
        <f aca="false">COUNTIF('HC-PO'!$E$52:$E$57,U$10)+COUNTIF('HC-FO'!$E$52:$E$57,U$10)+COUNTIF('HC-FE'!$E$52:$E$57,U$10)+COUNTIF('HC-PE'!$E$52:$E$57,U$10)+COUNTIF('HC-CO'!$E$52:$E$57,U$10)</f>
        <v>0</v>
      </c>
      <c r="V60" s="367" t="n">
        <f aca="false">COUNTIF('HC-PO'!$E$52:$E$57,V$10)+COUNTIF('HC-FO'!$E$52:$E$57,V$10)+COUNTIF('HC-FE'!$E$52:$E$57,V$10)+COUNTIF('HC-PE'!$E$52:$E$57,V$10)+COUNTIF('HC-CO'!$E$52:$E$57,V$10)</f>
        <v>0</v>
      </c>
      <c r="W60" s="367" t="n">
        <f aca="false">COUNTIF('HC-PO'!$E$52:$E$57,W$10)+COUNTIF('HC-FO'!$E$52:$E$57,W$10)+COUNTIF('HC-FE'!$E$52:$E$57,W$10)+COUNTIF('HC-PE'!$E$52:$E$57,W$10)+COUNTIF('HC-CO'!$E$52:$E$57,W$10)</f>
        <v>0</v>
      </c>
      <c r="X60" s="367" t="n">
        <f aca="false">COUNTIF('HC-PO'!$E$52:$E$57,X$10)+COUNTIF('HC-FO'!$E$52:$E$57,X$10)+COUNTIF('HC-FE'!$E$52:$E$57,X$10)+COUNTIF('HC-PE'!$E$52:$E$57,X$10)+COUNTIF('HC-CO'!$E$52:$E$57,X$10)</f>
        <v>0</v>
      </c>
      <c r="Y60" s="367"/>
      <c r="Z60" s="367" t="n">
        <f aca="false">SUM(M60:X60)</f>
        <v>0</v>
      </c>
    </row>
    <row r="61" customFormat="false" ht="14.4" hidden="false" customHeight="false" outlineLevel="0" collapsed="false">
      <c r="B61" s="0" t="s">
        <v>3161</v>
      </c>
      <c r="I61" s="367" t="n">
        <f aca="false">COUNTIF('HC-PO'!$E$59:$E$64,I$10)+COUNTIF('HC-FO'!$E$59:$E$64,I$10)+COUNTIF('HC-FE'!$E$59:$E$64,I$10)+COUNTIF('HC-PE'!$E$59:$E$64,I$10)+COUNTIF('HC-CO'!$E$59:$E$64,I$10)</f>
        <v>0</v>
      </c>
      <c r="J61" s="367" t="n">
        <f aca="false">COUNTIF('HC-PO'!$E$59:$E$64,J$10)+COUNTIF('HC-FO'!$E$59:$E$64,J$10)+COUNTIF('HC-FE'!$E$59:$E$64,J$10)+COUNTIF('HC-PE'!$E$59:$E$64,J$10)+COUNTIF('HC-CO'!$E$59:$E$64,J$10)</f>
        <v>0</v>
      </c>
      <c r="K61" s="367" t="n">
        <f aca="false">COUNTIF('HC-PO'!$E$59:$E$64,K$10)+COUNTIF('HC-FO'!$E$59:$E$64,K$10)+COUNTIF('HC-FE'!$E$59:$E$64,K$10)+COUNTIF('HC-PE'!$E$59:$E$64,K$10)+COUNTIF('HC-CO'!$E$59:$E$64,K$10)</f>
        <v>0</v>
      </c>
      <c r="L61" s="367" t="n">
        <f aca="false">COUNTIF('HC-PO'!$E$59:$E$64,L$10)+COUNTIF('HC-FO'!$E$59:$E$64,L$10)+COUNTIF('HC-FE'!$E$59:$E$64,L$10)+COUNTIF('HC-PE'!$E$59:$E$64,L$10)+COUNTIF('HC-CO'!$E$59:$E$64,L$10)</f>
        <v>0</v>
      </c>
      <c r="M61" s="367" t="n">
        <f aca="false">COUNTIF('HC-PO'!$E$59:$E$64,M$10)+COUNTIF('HC-FO'!$E$59:$E$64,M$10)+COUNTIF('HC-FE'!$E$59:$E$64,M$10)+COUNTIF('HC-PE'!$E$59:$E$64,M$10)+COUNTIF('HC-CO'!$E$59:$E$64,M$10)</f>
        <v>0</v>
      </c>
      <c r="N61" s="367" t="n">
        <f aca="false">COUNTIF('HC-PO'!$E$59:$E$64,N$10)+COUNTIF('HC-FO'!$E$59:$E$64,N$10)+COUNTIF('HC-FE'!$E$59:$E$64,N$10)+COUNTIF('HC-PE'!$E$59:$E$64,N$10)+COUNTIF('HC-CO'!$E$59:$E$64,N$10)</f>
        <v>0</v>
      </c>
      <c r="O61" s="367" t="n">
        <f aca="false">COUNTIF('HC-PO'!$E$59:$E$64,O$10)+COUNTIF('HC-FO'!$E$59:$E$64,O$10)+COUNTIF('HC-FE'!$E$59:$E$64,O$10)+COUNTIF('HC-PE'!$E$59:$E$64,O$10)+COUNTIF('HC-CO'!$E$59:$E$64,O$10)</f>
        <v>0</v>
      </c>
      <c r="P61" s="367" t="n">
        <f aca="false">COUNTIF('HC-PO'!$E$59:$E$64,P$10)+COUNTIF('HC-FO'!$E$59:$E$64,P$10)+COUNTIF('HC-FE'!$E$59:$E$64,P$10)+COUNTIF('HC-PE'!$E$59:$E$64,P$10)+COUNTIF('HC-CO'!$E$59:$E$64,P$10)</f>
        <v>0</v>
      </c>
      <c r="Q61" s="367" t="n">
        <f aca="false">COUNTIF('HC-PO'!$E$59:$E$64,Q$10)+COUNTIF('HC-FO'!$E$59:$E$64,Q$10)+COUNTIF('HC-FE'!$E$59:$E$64,Q$10)+COUNTIF('HC-PE'!$E$59:$E$64,Q$10)+COUNTIF('HC-CO'!$E$59:$E$64,Q$10)</f>
        <v>0</v>
      </c>
      <c r="R61" s="367" t="n">
        <f aca="false">COUNTIF('HC-PO'!$E$59:$E$64,R$10)+COUNTIF('HC-FO'!$E$59:$E$64,R$10)+COUNTIF('HC-FE'!$E$59:$E$64,R$10)+COUNTIF('HC-PE'!$E$59:$E$64,R$10)+COUNTIF('HC-CO'!$E$59:$E$64,R$10)</f>
        <v>0</v>
      </c>
      <c r="S61" s="367" t="n">
        <f aca="false">COUNTIF('HC-PO'!$E$59:$E$64,S$10)+COUNTIF('HC-FO'!$E$59:$E$64,S$10)+COUNTIF('HC-FE'!$E$59:$E$64,S$10)+COUNTIF('HC-PE'!$E$59:$E$64,S$10)+COUNTIF('HC-CO'!$E$59:$E$64,S$10)</f>
        <v>0</v>
      </c>
      <c r="T61" s="367" t="n">
        <f aca="false">COUNTIF('HC-PO'!$E$59:$E$64,T$10)+COUNTIF('HC-FO'!$E$59:$E$64,T$10)+COUNTIF('HC-FE'!$E$59:$E$64,T$10)+COUNTIF('HC-PE'!$E$59:$E$64,T$10)+COUNTIF('HC-CO'!$E$59:$E$64,T$10)</f>
        <v>0</v>
      </c>
      <c r="U61" s="367" t="n">
        <f aca="false">COUNTIF('HC-PO'!$E$59:$E$64,U$10)+COUNTIF('HC-FO'!$E$59:$E$64,U$10)+COUNTIF('HC-FE'!$E$59:$E$64,U$10)+COUNTIF('HC-PE'!$E$59:$E$64,U$10)+COUNTIF('HC-CO'!$E$59:$E$64,U$10)</f>
        <v>0</v>
      </c>
      <c r="V61" s="367" t="n">
        <f aca="false">COUNTIF('HC-PO'!$E$59:$E$64,V$10)+COUNTIF('HC-FO'!$E$59:$E$64,V$10)+COUNTIF('HC-FE'!$E$59:$E$64,V$10)+COUNTIF('HC-PE'!$E$59:$E$64,V$10)+COUNTIF('HC-CO'!$E$59:$E$64,V$10)</f>
        <v>0</v>
      </c>
      <c r="W61" s="367" t="n">
        <f aca="false">COUNTIF('HC-PO'!$E$59:$E$64,W$10)+COUNTIF('HC-FO'!$E$59:$E$64,W$10)+COUNTIF('HC-FE'!$E$59:$E$64,W$10)+COUNTIF('HC-PE'!$E$59:$E$64,W$10)+COUNTIF('HC-CO'!$E$59:$E$64,W$10)</f>
        <v>0</v>
      </c>
      <c r="X61" s="367" t="n">
        <f aca="false">COUNTIF('HC-PO'!$E$59:$E$64,X$10)+COUNTIF('HC-FO'!$E$59:$E$64,X$10)+COUNTIF('HC-FE'!$E$59:$E$64,X$10)+COUNTIF('HC-PE'!$E$59:$E$64,X$10)+COUNTIF('HC-CO'!$E$59:$E$64,X$10)</f>
        <v>0</v>
      </c>
      <c r="Y61" s="367"/>
      <c r="Z61" s="367" t="n">
        <f aca="false">SUM(M61:X61)</f>
        <v>0</v>
      </c>
    </row>
    <row r="62" customFormat="false" ht="14.4" hidden="false" customHeight="false" outlineLevel="0" collapsed="false">
      <c r="B62" s="295" t="s">
        <v>3162</v>
      </c>
      <c r="C62" s="295"/>
      <c r="D62" s="295"/>
      <c r="E62" s="295"/>
      <c r="F62" s="295"/>
      <c r="G62" s="295"/>
      <c r="H62" s="295"/>
      <c r="I62" s="368" t="n">
        <f aca="false">I60-I61</f>
        <v>0</v>
      </c>
      <c r="J62" s="368" t="n">
        <f aca="false">J60-J61</f>
        <v>0</v>
      </c>
      <c r="K62" s="368" t="n">
        <f aca="false">K60-K61</f>
        <v>0</v>
      </c>
      <c r="L62" s="368" t="n">
        <f aca="false">L60-L61</f>
        <v>0</v>
      </c>
      <c r="M62" s="368" t="n">
        <f aca="false">M60-M61</f>
        <v>0</v>
      </c>
      <c r="N62" s="368" t="n">
        <f aca="false">N60-N61</f>
        <v>0</v>
      </c>
      <c r="O62" s="368" t="n">
        <f aca="false">O60-O61</f>
        <v>0</v>
      </c>
      <c r="P62" s="368" t="n">
        <f aca="false">P60-P61</f>
        <v>0</v>
      </c>
      <c r="Q62" s="368" t="n">
        <f aca="false">Q60-Q61</f>
        <v>0</v>
      </c>
      <c r="R62" s="368" t="n">
        <f aca="false">R60-R61</f>
        <v>0</v>
      </c>
      <c r="S62" s="368" t="n">
        <f aca="false">S60-S61</f>
        <v>0</v>
      </c>
      <c r="T62" s="368" t="n">
        <f aca="false">T60-T61</f>
        <v>0</v>
      </c>
      <c r="U62" s="368" t="n">
        <f aca="false">U60-U61</f>
        <v>0</v>
      </c>
      <c r="V62" s="368" t="n">
        <f aca="false">V60-V61</f>
        <v>0</v>
      </c>
      <c r="W62" s="368" t="n">
        <f aca="false">W60-W61</f>
        <v>0</v>
      </c>
      <c r="X62" s="368" t="n">
        <f aca="false">X60-X61</f>
        <v>0</v>
      </c>
      <c r="Y62" s="368"/>
      <c r="Z62" s="368" t="n">
        <f aca="false">SUM(M62:X62)</f>
        <v>0</v>
      </c>
    </row>
    <row r="64" customFormat="false" ht="14.4" hidden="false" customHeight="false" outlineLevel="0" collapsed="false">
      <c r="B64" s="317" t="s">
        <v>3163</v>
      </c>
      <c r="Z64" s="361" t="s">
        <v>3164</v>
      </c>
    </row>
    <row r="65" customFormat="false" ht="14.4" hidden="false" customHeight="false" outlineLevel="0" collapsed="false">
      <c r="B65" s="0" t="s">
        <v>712</v>
      </c>
      <c r="C65" s="0" t="s">
        <v>2298</v>
      </c>
      <c r="D65" s="0" t="s">
        <v>3148</v>
      </c>
      <c r="I65" s="367" t="n">
        <f aca="false">COUNTIF('HC-PO'!I$14:I$57,"&gt;0")</f>
        <v>9</v>
      </c>
      <c r="J65" s="367" t="n">
        <f aca="false">COUNTIF('HC-PO'!J$14:J$57,"&gt;0")</f>
        <v>9</v>
      </c>
      <c r="K65" s="367" t="n">
        <f aca="false">COUNTIF('HC-PO'!K$14:K$57,"&gt;0")</f>
        <v>9</v>
      </c>
      <c r="L65" s="367" t="n">
        <f aca="false">COUNTIF('HC-PO'!L$14:L$57,"&gt;0")</f>
        <v>9</v>
      </c>
      <c r="M65" s="367" t="n">
        <f aca="false">COUNTIF('HC-PO'!M$14:M$57,"&gt;0")</f>
        <v>9</v>
      </c>
      <c r="N65" s="367" t="n">
        <f aca="false">COUNTIF('HC-PO'!N$14:N$57,"&gt;0")</f>
        <v>9</v>
      </c>
      <c r="O65" s="367" t="n">
        <f aca="false">COUNTIF('HC-PO'!O$14:O$57,"&gt;0")</f>
        <v>9</v>
      </c>
      <c r="P65" s="367" t="n">
        <f aca="false">COUNTIF('HC-PO'!P$14:P$57,"&gt;0")</f>
        <v>9</v>
      </c>
      <c r="Q65" s="367" t="n">
        <f aca="false">COUNTIF('HC-PO'!Q$14:Q$57,"&gt;0")</f>
        <v>9</v>
      </c>
      <c r="R65" s="367" t="n">
        <f aca="false">COUNTIF('HC-PO'!R$14:R$57,"&gt;0")</f>
        <v>9</v>
      </c>
      <c r="S65" s="367" t="n">
        <f aca="false">COUNTIF('HC-PO'!S$14:S$57,"&gt;0")</f>
        <v>9</v>
      </c>
      <c r="T65" s="367" t="n">
        <f aca="false">COUNTIF('HC-PO'!T$14:T$57,"&gt;0")</f>
        <v>9</v>
      </c>
      <c r="U65" s="367" t="n">
        <f aca="false">COUNTIF('HC-PO'!U$14:U$57,"&gt;0")</f>
        <v>9</v>
      </c>
      <c r="V65" s="367" t="n">
        <f aca="false">COUNTIF('HC-PO'!V$14:V$57,"&gt;0")</f>
        <v>9</v>
      </c>
      <c r="W65" s="367" t="n">
        <f aca="false">COUNTIF('HC-PO'!W$14:W$57,"&gt;0")</f>
        <v>9</v>
      </c>
      <c r="X65" s="367" t="n">
        <f aca="false">COUNTIF('HC-PO'!X$14:X$57,"&gt;0")</f>
        <v>9</v>
      </c>
      <c r="Z65" s="367" t="n">
        <f aca="false">X65</f>
        <v>9</v>
      </c>
    </row>
    <row r="66" customFormat="false" ht="14.4" hidden="false" customHeight="false" outlineLevel="0" collapsed="false">
      <c r="B66" s="0" t="s">
        <v>710</v>
      </c>
      <c r="C66" s="0" t="s">
        <v>2291</v>
      </c>
      <c r="D66" s="0" t="s">
        <v>3148</v>
      </c>
      <c r="I66" s="367" t="n">
        <f aca="false">COUNTIF('HC-FO'!I$14:I$57,"&gt;0")</f>
        <v>16</v>
      </c>
      <c r="J66" s="367" t="n">
        <f aca="false">COUNTIF('HC-FO'!J$14:J$57,"&gt;0")</f>
        <v>16</v>
      </c>
      <c r="K66" s="367" t="n">
        <f aca="false">COUNTIF('HC-FO'!K$14:K$57,"&gt;0")</f>
        <v>16</v>
      </c>
      <c r="L66" s="367" t="n">
        <f aca="false">COUNTIF('HC-FO'!L$14:L$57,"&gt;0")</f>
        <v>16</v>
      </c>
      <c r="M66" s="367" t="n">
        <f aca="false">COUNTIF('HC-FO'!M$14:M$57,"&gt;0")</f>
        <v>16</v>
      </c>
      <c r="N66" s="367" t="n">
        <f aca="false">COUNTIF('HC-FO'!N$14:N$57,"&gt;0")</f>
        <v>16</v>
      </c>
      <c r="O66" s="367" t="n">
        <f aca="false">COUNTIF('HC-FO'!O$14:O$57,"&gt;0")</f>
        <v>16</v>
      </c>
      <c r="P66" s="367" t="n">
        <f aca="false">COUNTIF('HC-FO'!P$14:P$57,"&gt;0")</f>
        <v>16</v>
      </c>
      <c r="Q66" s="367" t="n">
        <f aca="false">COUNTIF('HC-FO'!Q$14:Q$57,"&gt;0")</f>
        <v>16</v>
      </c>
      <c r="R66" s="367" t="n">
        <f aca="false">COUNTIF('HC-FO'!R$14:R$57,"&gt;0")</f>
        <v>16</v>
      </c>
      <c r="S66" s="367" t="n">
        <f aca="false">COUNTIF('HC-FO'!S$14:S$57,"&gt;0")</f>
        <v>16</v>
      </c>
      <c r="T66" s="367" t="n">
        <f aca="false">COUNTIF('HC-FO'!T$14:T$57,"&gt;0")</f>
        <v>16</v>
      </c>
      <c r="U66" s="367" t="n">
        <f aca="false">COUNTIF('HC-FO'!U$14:U$57,"&gt;0")</f>
        <v>16</v>
      </c>
      <c r="V66" s="367" t="n">
        <f aca="false">COUNTIF('HC-FO'!V$14:V$57,"&gt;0")</f>
        <v>16</v>
      </c>
      <c r="W66" s="367" t="n">
        <f aca="false">COUNTIF('HC-FO'!W$14:W$57,"&gt;0")</f>
        <v>16</v>
      </c>
      <c r="X66" s="367" t="n">
        <f aca="false">COUNTIF('HC-FO'!X$14:X$57,"&gt;0")</f>
        <v>16</v>
      </c>
      <c r="Z66" s="367" t="n">
        <f aca="false">X66</f>
        <v>16</v>
      </c>
    </row>
    <row r="67" customFormat="false" ht="14.4" hidden="false" customHeight="false" outlineLevel="0" collapsed="false">
      <c r="B67" s="0" t="s">
        <v>717</v>
      </c>
      <c r="C67" s="0" t="s">
        <v>2321</v>
      </c>
      <c r="D67" s="0" t="s">
        <v>3149</v>
      </c>
      <c r="I67" s="367" t="n">
        <f aca="false">COUNTIF('HC-FE'!I$14:I$57,"&gt;0")</f>
        <v>6</v>
      </c>
      <c r="J67" s="367" t="n">
        <f aca="false">COUNTIF('HC-FE'!J$14:J$57,"&gt;0")</f>
        <v>6</v>
      </c>
      <c r="K67" s="367" t="n">
        <f aca="false">COUNTIF('HC-FE'!K$14:K$57,"&gt;0")</f>
        <v>6</v>
      </c>
      <c r="L67" s="367" t="n">
        <f aca="false">COUNTIF('HC-FE'!L$14:L$57,"&gt;0")</f>
        <v>7</v>
      </c>
      <c r="M67" s="367" t="n">
        <f aca="false">COUNTIF('HC-FE'!M$14:M$57,"&gt;0")</f>
        <v>7</v>
      </c>
      <c r="N67" s="367" t="n">
        <f aca="false">COUNTIF('HC-FE'!N$14:N$57,"&gt;0")</f>
        <v>7</v>
      </c>
      <c r="O67" s="367" t="n">
        <f aca="false">COUNTIF('HC-FE'!O$14:O$57,"&gt;0")</f>
        <v>7</v>
      </c>
      <c r="P67" s="367" t="n">
        <f aca="false">COUNTIF('HC-FE'!P$14:P$57,"&gt;0")</f>
        <v>7</v>
      </c>
      <c r="Q67" s="367" t="n">
        <f aca="false">COUNTIF('HC-FE'!Q$14:Q$57,"&gt;0")</f>
        <v>7</v>
      </c>
      <c r="R67" s="367" t="n">
        <f aca="false">COUNTIF('HC-FE'!R$14:R$57,"&gt;0")</f>
        <v>7</v>
      </c>
      <c r="S67" s="367" t="n">
        <f aca="false">COUNTIF('HC-FE'!S$14:S$57,"&gt;0")</f>
        <v>7</v>
      </c>
      <c r="T67" s="367" t="n">
        <f aca="false">COUNTIF('HC-FE'!T$14:T$57,"&gt;0")</f>
        <v>7</v>
      </c>
      <c r="U67" s="367" t="n">
        <f aca="false">COUNTIF('HC-FE'!U$14:U$57,"&gt;0")</f>
        <v>7</v>
      </c>
      <c r="V67" s="367" t="n">
        <f aca="false">COUNTIF('HC-FE'!V$14:V$57,"&gt;0")</f>
        <v>7</v>
      </c>
      <c r="W67" s="367" t="n">
        <f aca="false">COUNTIF('HC-FE'!W$14:W$57,"&gt;0")</f>
        <v>7</v>
      </c>
      <c r="X67" s="367" t="n">
        <f aca="false">COUNTIF('HC-FE'!X$14:X$57,"&gt;0")</f>
        <v>7</v>
      </c>
      <c r="Z67" s="367" t="n">
        <f aca="false">X67</f>
        <v>7</v>
      </c>
    </row>
    <row r="68" customFormat="false" ht="14.4" hidden="false" customHeight="false" outlineLevel="0" collapsed="false">
      <c r="B68" s="0" t="s">
        <v>718</v>
      </c>
      <c r="C68" s="0" t="s">
        <v>2322</v>
      </c>
      <c r="D68" s="0" t="s">
        <v>3149</v>
      </c>
      <c r="I68" s="367" t="n">
        <f aca="false">COUNTIF('HC-PE'!I$14:I$57,"&gt;0")</f>
        <v>9</v>
      </c>
      <c r="J68" s="367" t="n">
        <f aca="false">COUNTIF('HC-PE'!J$14:J$57,"&gt;0")</f>
        <v>9</v>
      </c>
      <c r="K68" s="367" t="n">
        <f aca="false">COUNTIF('HC-PE'!K$14:K$57,"&gt;0")</f>
        <v>9</v>
      </c>
      <c r="L68" s="367" t="n">
        <f aca="false">COUNTIF('HC-PE'!L$14:L$57,"&gt;0")</f>
        <v>9</v>
      </c>
      <c r="M68" s="367" t="n">
        <f aca="false">COUNTIF('HC-PE'!M$14:M$57,"&gt;0")</f>
        <v>9</v>
      </c>
      <c r="N68" s="367" t="n">
        <f aca="false">COUNTIF('HC-PE'!N$14:N$57,"&gt;0")</f>
        <v>9</v>
      </c>
      <c r="O68" s="367" t="n">
        <f aca="false">COUNTIF('HC-PE'!O$14:O$57,"&gt;0")</f>
        <v>9</v>
      </c>
      <c r="P68" s="367" t="n">
        <f aca="false">COUNTIF('HC-PE'!P$14:P$57,"&gt;0")</f>
        <v>9</v>
      </c>
      <c r="Q68" s="367" t="n">
        <f aca="false">COUNTIF('HC-PE'!Q$14:Q$57,"&gt;0")</f>
        <v>9</v>
      </c>
      <c r="R68" s="367" t="n">
        <f aca="false">COUNTIF('HC-PE'!R$14:R$57,"&gt;0")</f>
        <v>9</v>
      </c>
      <c r="S68" s="367" t="n">
        <f aca="false">COUNTIF('HC-PE'!S$14:S$57,"&gt;0")</f>
        <v>9</v>
      </c>
      <c r="T68" s="367" t="n">
        <f aca="false">COUNTIF('HC-PE'!T$14:T$57,"&gt;0")</f>
        <v>9</v>
      </c>
      <c r="U68" s="367" t="n">
        <f aca="false">COUNTIF('HC-PE'!U$14:U$57,"&gt;0")</f>
        <v>9</v>
      </c>
      <c r="V68" s="367" t="n">
        <f aca="false">COUNTIF('HC-PE'!V$14:V$57,"&gt;0")</f>
        <v>9</v>
      </c>
      <c r="W68" s="367" t="n">
        <f aca="false">COUNTIF('HC-PE'!W$14:W$57,"&gt;0")</f>
        <v>9</v>
      </c>
      <c r="X68" s="367" t="n">
        <f aca="false">COUNTIF('HC-PE'!X$14:X$57,"&gt;0")</f>
        <v>9</v>
      </c>
      <c r="Z68" s="367" t="n">
        <f aca="false">X68</f>
        <v>9</v>
      </c>
    </row>
    <row r="69" customFormat="false" ht="14.4" hidden="false" customHeight="false" outlineLevel="0" collapsed="false">
      <c r="B69" s="0" t="s">
        <v>715</v>
      </c>
      <c r="C69" s="0" t="s">
        <v>221</v>
      </c>
      <c r="D69" s="0" t="s">
        <v>3149</v>
      </c>
      <c r="I69" s="367" t="n">
        <f aca="false">COUNTIF('HC-CO'!I$14:I$57,"&gt;0")</f>
        <v>4</v>
      </c>
      <c r="J69" s="367" t="n">
        <f aca="false">COUNTIF('HC-CO'!J$14:J$57,"&gt;0")</f>
        <v>5</v>
      </c>
      <c r="K69" s="367" t="n">
        <f aca="false">COUNTIF('HC-CO'!K$14:K$57,"&gt;0")</f>
        <v>5</v>
      </c>
      <c r="L69" s="367" t="n">
        <f aca="false">COUNTIF('HC-CO'!L$14:L$57,"&gt;0")</f>
        <v>5</v>
      </c>
      <c r="M69" s="367" t="n">
        <f aca="false">COUNTIF('HC-CO'!M$14:M$57,"&gt;0")</f>
        <v>6</v>
      </c>
      <c r="N69" s="367" t="n">
        <f aca="false">COUNTIF('HC-CO'!N$14:N$57,"&gt;0")</f>
        <v>6</v>
      </c>
      <c r="O69" s="367" t="n">
        <f aca="false">COUNTIF('HC-CO'!O$14:O$57,"&gt;0")</f>
        <v>6</v>
      </c>
      <c r="P69" s="367" t="n">
        <f aca="false">COUNTIF('HC-CO'!P$14:P$57,"&gt;0")</f>
        <v>6</v>
      </c>
      <c r="Q69" s="367" t="n">
        <f aca="false">COUNTIF('HC-CO'!Q$14:Q$57,"&gt;0")</f>
        <v>6</v>
      </c>
      <c r="R69" s="367" t="n">
        <f aca="false">COUNTIF('HC-CO'!R$14:R$57,"&gt;0")</f>
        <v>6</v>
      </c>
      <c r="S69" s="367" t="n">
        <f aca="false">COUNTIF('HC-CO'!S$14:S$57,"&gt;0")</f>
        <v>6</v>
      </c>
      <c r="T69" s="367" t="n">
        <f aca="false">COUNTIF('HC-CO'!T$14:T$57,"&gt;0")</f>
        <v>6</v>
      </c>
      <c r="U69" s="367" t="n">
        <f aca="false">COUNTIF('HC-CO'!U$14:U$57,"&gt;0")</f>
        <v>6</v>
      </c>
      <c r="V69" s="367" t="n">
        <f aca="false">COUNTIF('HC-CO'!V$14:V$57,"&gt;0")</f>
        <v>6</v>
      </c>
      <c r="W69" s="367" t="n">
        <f aca="false">COUNTIF('HC-CO'!W$14:W$57,"&gt;0")</f>
        <v>6</v>
      </c>
      <c r="X69" s="367" t="n">
        <f aca="false">COUNTIF('HC-CO'!X$14:X$57,"&gt;0")</f>
        <v>6</v>
      </c>
      <c r="Z69" s="367" t="n">
        <f aca="false">X69</f>
        <v>6</v>
      </c>
    </row>
    <row r="70" customFormat="false" ht="14.4" hidden="false" customHeight="false" outlineLevel="0" collapsed="false">
      <c r="B70" s="364" t="s">
        <v>3165</v>
      </c>
      <c r="C70" s="369"/>
      <c r="D70" s="369"/>
      <c r="I70" s="370" t="n">
        <f aca="false">SUM(I65:I69)</f>
        <v>44</v>
      </c>
      <c r="J70" s="370" t="n">
        <f aca="false">SUM(J65:J69)</f>
        <v>45</v>
      </c>
      <c r="K70" s="370" t="n">
        <f aca="false">SUM(K65:K69)</f>
        <v>45</v>
      </c>
      <c r="L70" s="370" t="n">
        <f aca="false">SUM(L65:L69)</f>
        <v>46</v>
      </c>
      <c r="M70" s="370" t="n">
        <f aca="false">SUM(M65:M69)</f>
        <v>47</v>
      </c>
      <c r="N70" s="370" t="n">
        <f aca="false">SUM(N65:N69)</f>
        <v>47</v>
      </c>
      <c r="O70" s="370" t="n">
        <f aca="false">SUM(O65:O69)</f>
        <v>47</v>
      </c>
      <c r="P70" s="370" t="n">
        <f aca="false">SUM(P65:P69)</f>
        <v>47</v>
      </c>
      <c r="Q70" s="370" t="n">
        <f aca="false">SUM(Q65:Q69)</f>
        <v>47</v>
      </c>
      <c r="R70" s="370" t="n">
        <f aca="false">SUM(R65:R69)</f>
        <v>47</v>
      </c>
      <c r="S70" s="370" t="n">
        <f aca="false">SUM(S65:S69)</f>
        <v>47</v>
      </c>
      <c r="T70" s="370" t="n">
        <f aca="false">SUM(T65:T69)</f>
        <v>47</v>
      </c>
      <c r="U70" s="370" t="n">
        <f aca="false">SUM(U65:U69)</f>
        <v>47</v>
      </c>
      <c r="V70" s="370" t="n">
        <f aca="false">SUM(V65:V69)</f>
        <v>47</v>
      </c>
      <c r="W70" s="370" t="n">
        <f aca="false">SUM(W65:W69)</f>
        <v>47</v>
      </c>
      <c r="X70" s="370" t="n">
        <f aca="false">SUM(X65:X69)</f>
        <v>47</v>
      </c>
      <c r="Z70" s="370" t="n">
        <f aca="false">X70</f>
        <v>47</v>
      </c>
    </row>
    <row r="72" customFormat="false" ht="14.4" hidden="false" customHeight="false" outlineLevel="0" collapsed="false">
      <c r="B72" s="317" t="s">
        <v>3166</v>
      </c>
    </row>
    <row r="73" customFormat="false" ht="14.4" hidden="false" customHeight="false" outlineLevel="0" collapsed="false">
      <c r="B73" s="0" t="s">
        <v>3148</v>
      </c>
      <c r="I73" s="367" t="n">
        <f aca="false">SUMIF($D$65:$D$69,$B73,I$65:I$69)</f>
        <v>25</v>
      </c>
      <c r="J73" s="367" t="n">
        <f aca="false">SUMIF($D$65:$D$69,$B73,J$65:J$69)</f>
        <v>25</v>
      </c>
      <c r="K73" s="367" t="n">
        <f aca="false">SUMIF($D$65:$D$69,$B73,K$65:K$69)</f>
        <v>25</v>
      </c>
      <c r="L73" s="367" t="n">
        <f aca="false">SUMIF($D$65:$D$69,$B73,L$65:L$69)</f>
        <v>25</v>
      </c>
      <c r="M73" s="367" t="n">
        <f aca="false">SUMIF($D$65:$D$69,$B73,M$65:M$69)</f>
        <v>25</v>
      </c>
      <c r="N73" s="367" t="n">
        <f aca="false">SUMIF($D$65:$D$69,$B73,N$65:N$69)</f>
        <v>25</v>
      </c>
      <c r="O73" s="367" t="n">
        <f aca="false">SUMIF($D$65:$D$69,$B73,O$65:O$69)</f>
        <v>25</v>
      </c>
      <c r="P73" s="367" t="n">
        <f aca="false">SUMIF($D$65:$D$69,$B73,P$65:P$69)</f>
        <v>25</v>
      </c>
      <c r="Q73" s="367" t="n">
        <f aca="false">SUMIF($D$65:$D$69,$B73,Q$65:Q$69)</f>
        <v>25</v>
      </c>
      <c r="R73" s="367" t="n">
        <f aca="false">SUMIF($D$65:$D$69,$B73,R$65:R$69)</f>
        <v>25</v>
      </c>
      <c r="S73" s="367" t="n">
        <f aca="false">SUMIF($D$65:$D$69,$B73,S$65:S$69)</f>
        <v>25</v>
      </c>
      <c r="T73" s="367" t="n">
        <f aca="false">SUMIF($D$65:$D$69,$B73,T$65:T$69)</f>
        <v>25</v>
      </c>
      <c r="U73" s="367" t="n">
        <f aca="false">SUMIF($D$65:$D$69,$B73,U$65:U$69)</f>
        <v>25</v>
      </c>
      <c r="V73" s="367" t="n">
        <f aca="false">SUMIF($D$65:$D$69,$B73,V$65:V$69)</f>
        <v>25</v>
      </c>
      <c r="W73" s="367" t="n">
        <f aca="false">SUMIF($D$65:$D$69,$B73,W$65:W$69)</f>
        <v>25</v>
      </c>
      <c r="X73" s="367" t="n">
        <f aca="false">SUMIF($D$65:$D$69,$B73,X$65:X$69)</f>
        <v>25</v>
      </c>
      <c r="Z73" s="367" t="n">
        <f aca="false">X73</f>
        <v>25</v>
      </c>
    </row>
    <row r="74" customFormat="false" ht="14.4" hidden="false" customHeight="false" outlineLevel="0" collapsed="false">
      <c r="B74" s="0" t="s">
        <v>3149</v>
      </c>
      <c r="I74" s="367" t="n">
        <f aca="false">SUMIF($D$65:$D$69,$B74,I$65:I$69)</f>
        <v>19</v>
      </c>
      <c r="J74" s="367" t="n">
        <f aca="false">SUMIF($D$65:$D$69,$B74,J$65:J$69)</f>
        <v>20</v>
      </c>
      <c r="K74" s="367" t="n">
        <f aca="false">SUMIF($D$65:$D$69,$B74,K$65:K$69)</f>
        <v>20</v>
      </c>
      <c r="L74" s="367" t="n">
        <f aca="false">SUMIF($D$65:$D$69,$B74,L$65:L$69)</f>
        <v>21</v>
      </c>
      <c r="M74" s="367" t="n">
        <f aca="false">SUMIF($D$65:$D$69,$B74,M$65:M$69)</f>
        <v>22</v>
      </c>
      <c r="N74" s="367" t="n">
        <f aca="false">SUMIF($D$65:$D$69,$B74,N$65:N$69)</f>
        <v>22</v>
      </c>
      <c r="O74" s="367" t="n">
        <f aca="false">SUMIF($D$65:$D$69,$B74,O$65:O$69)</f>
        <v>22</v>
      </c>
      <c r="P74" s="367" t="n">
        <f aca="false">SUMIF($D$65:$D$69,$B74,P$65:P$69)</f>
        <v>22</v>
      </c>
      <c r="Q74" s="367" t="n">
        <f aca="false">SUMIF($D$65:$D$69,$B74,Q$65:Q$69)</f>
        <v>22</v>
      </c>
      <c r="R74" s="367" t="n">
        <f aca="false">SUMIF($D$65:$D$69,$B74,R$65:R$69)</f>
        <v>22</v>
      </c>
      <c r="S74" s="367" t="n">
        <f aca="false">SUMIF($D$65:$D$69,$B74,S$65:S$69)</f>
        <v>22</v>
      </c>
      <c r="T74" s="367" t="n">
        <f aca="false">SUMIF($D$65:$D$69,$B74,T$65:T$69)</f>
        <v>22</v>
      </c>
      <c r="U74" s="367" t="n">
        <f aca="false">SUMIF($D$65:$D$69,$B74,U$65:U$69)</f>
        <v>22</v>
      </c>
      <c r="V74" s="367" t="n">
        <f aca="false">SUMIF($D$65:$D$69,$B74,V$65:V$69)</f>
        <v>22</v>
      </c>
      <c r="W74" s="367" t="n">
        <f aca="false">SUMIF($D$65:$D$69,$B74,W$65:W$69)</f>
        <v>22</v>
      </c>
      <c r="X74" s="367" t="n">
        <f aca="false">SUMIF($D$65:$D$69,$B74,X$65:X$69)</f>
        <v>22</v>
      </c>
      <c r="Z74" s="367" t="n">
        <f aca="false">X74</f>
        <v>22</v>
      </c>
    </row>
    <row r="75" customFormat="false" ht="14.4" hidden="false" customHeight="false" outlineLevel="0" collapsed="false">
      <c r="B75" s="364" t="s">
        <v>3167</v>
      </c>
      <c r="I75" s="370" t="n">
        <f aca="false">SUM(I73:I74)</f>
        <v>44</v>
      </c>
      <c r="J75" s="370" t="n">
        <f aca="false">SUM(J73:J74)</f>
        <v>45</v>
      </c>
      <c r="K75" s="370" t="n">
        <f aca="false">SUM(K73:K74)</f>
        <v>45</v>
      </c>
      <c r="L75" s="370" t="n">
        <f aca="false">SUM(L73:L74)</f>
        <v>46</v>
      </c>
      <c r="M75" s="370" t="n">
        <f aca="false">SUM(M73:M74)</f>
        <v>47</v>
      </c>
      <c r="N75" s="370" t="n">
        <f aca="false">SUM(N73:N74)</f>
        <v>47</v>
      </c>
      <c r="O75" s="370" t="n">
        <f aca="false">SUM(O73:O74)</f>
        <v>47</v>
      </c>
      <c r="P75" s="370" t="n">
        <f aca="false">SUM(P73:P74)</f>
        <v>47</v>
      </c>
      <c r="Q75" s="370" t="n">
        <f aca="false">SUM(Q73:Q74)</f>
        <v>47</v>
      </c>
      <c r="R75" s="370" t="n">
        <f aca="false">SUM(R73:R74)</f>
        <v>47</v>
      </c>
      <c r="S75" s="370" t="n">
        <f aca="false">SUM(S73:S74)</f>
        <v>47</v>
      </c>
      <c r="T75" s="370" t="n">
        <f aca="false">SUM(T73:T74)</f>
        <v>47</v>
      </c>
      <c r="U75" s="370" t="n">
        <f aca="false">SUM(U73:U74)</f>
        <v>47</v>
      </c>
      <c r="V75" s="370" t="n">
        <f aca="false">SUM(V73:V74)</f>
        <v>47</v>
      </c>
      <c r="W75" s="370" t="n">
        <f aca="false">SUM(W73:W74)</f>
        <v>47</v>
      </c>
      <c r="X75" s="370" t="n">
        <f aca="false">SUM(X73:X74)</f>
        <v>47</v>
      </c>
      <c r="Z75" s="370" t="n">
        <f aca="false">X75</f>
        <v>47</v>
      </c>
    </row>
    <row r="76" customFormat="false" ht="14.4" hidden="false" customHeight="false" outlineLevel="0" collapsed="false">
      <c r="B76" s="366" t="s">
        <v>3168</v>
      </c>
      <c r="I76" s="367" t="n">
        <f aca="false">I75-I70</f>
        <v>0</v>
      </c>
      <c r="J76" s="367" t="n">
        <f aca="false">J75-J70</f>
        <v>0</v>
      </c>
      <c r="K76" s="367" t="n">
        <f aca="false">K75-K70</f>
        <v>0</v>
      </c>
      <c r="L76" s="367" t="n">
        <f aca="false">L75-L70</f>
        <v>0</v>
      </c>
      <c r="M76" s="367" t="n">
        <f aca="false">M75-M70</f>
        <v>0</v>
      </c>
      <c r="N76" s="367" t="n">
        <f aca="false">N75-N70</f>
        <v>0</v>
      </c>
      <c r="O76" s="367" t="n">
        <f aca="false">O75-O70</f>
        <v>0</v>
      </c>
      <c r="P76" s="367" t="n">
        <f aca="false">P75-P70</f>
        <v>0</v>
      </c>
      <c r="Q76" s="367" t="n">
        <f aca="false">Q75-Q70</f>
        <v>0</v>
      </c>
      <c r="R76" s="367" t="n">
        <f aca="false">R75-R70</f>
        <v>0</v>
      </c>
      <c r="S76" s="367" t="n">
        <f aca="false">S75-S70</f>
        <v>0</v>
      </c>
      <c r="T76" s="367" t="n">
        <f aca="false">T75-T70</f>
        <v>0</v>
      </c>
      <c r="U76" s="367" t="n">
        <f aca="false">U75-U70</f>
        <v>0</v>
      </c>
      <c r="V76" s="367" t="n">
        <f aca="false">V75-V70</f>
        <v>0</v>
      </c>
      <c r="W76" s="367" t="n">
        <f aca="false">W75-W70</f>
        <v>0</v>
      </c>
      <c r="X76" s="367" t="n">
        <f aca="false">X75-X70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2.63"/>
    <col collapsed="false" customWidth="true" hidden="false" outlineLevel="0" max="17" min="2" style="0" width="11.63"/>
    <col collapsed="false" customWidth="true" hidden="false" outlineLevel="0" max="19" min="18" style="0" width="13.63"/>
    <col collapsed="false" customWidth="true" hidden="false" outlineLevel="0" max="20" min="20" style="0" width="21.38"/>
    <col collapsed="false" customWidth="true" hidden="false" outlineLevel="0" max="21" min="21" style="0" width="10.75"/>
    <col collapsed="false" customWidth="true" hidden="false" outlineLevel="0" max="22" min="22" style="0" width="9.51"/>
    <col collapsed="false" customWidth="true" hidden="false" outlineLevel="0" max="24" min="24" style="0" width="13.88"/>
    <col collapsed="false" customWidth="true" hidden="false" outlineLevel="0" max="25" min="25" style="0" width="10.75"/>
  </cols>
  <sheetData>
    <row r="1" customFormat="false" ht="17.35" hidden="false" customHeight="false" outlineLevel="0" collapsed="false">
      <c r="A1" s="371" t="s">
        <v>3169</v>
      </c>
      <c r="B1" s="372"/>
      <c r="C1" s="372"/>
      <c r="D1" s="372"/>
      <c r="E1" s="372"/>
      <c r="F1" s="372"/>
      <c r="G1" s="372"/>
      <c r="H1" s="372"/>
      <c r="I1" s="372"/>
      <c r="J1" s="372"/>
      <c r="K1" s="372"/>
      <c r="L1" s="372"/>
      <c r="M1" s="372"/>
      <c r="N1" s="372"/>
      <c r="O1" s="372"/>
      <c r="P1" s="372"/>
      <c r="Q1" s="372"/>
      <c r="R1" s="372"/>
      <c r="S1" s="372"/>
      <c r="T1" s="372"/>
      <c r="U1" s="372"/>
      <c r="V1" s="372"/>
      <c r="W1" s="372"/>
      <c r="X1" s="372"/>
      <c r="Y1" s="372"/>
    </row>
    <row r="2" customFormat="false" ht="43.5" hidden="false" customHeight="true" outlineLevel="0" collapsed="false">
      <c r="A2" s="373" t="s">
        <v>3170</v>
      </c>
      <c r="B2" s="373"/>
      <c r="C2" s="373"/>
      <c r="D2" s="373"/>
      <c r="E2" s="373"/>
      <c r="F2" s="373"/>
      <c r="G2" s="373"/>
      <c r="H2" s="373"/>
      <c r="I2" s="373"/>
      <c r="J2" s="373"/>
      <c r="K2" s="373"/>
      <c r="L2" s="373"/>
      <c r="M2" s="373"/>
      <c r="N2" s="373"/>
      <c r="O2" s="373"/>
      <c r="P2" s="373"/>
      <c r="Q2" s="373"/>
      <c r="R2" s="373"/>
      <c r="S2" s="373"/>
      <c r="T2" s="373"/>
      <c r="U2" s="373"/>
      <c r="V2" s="373"/>
      <c r="W2" s="373"/>
      <c r="X2" s="373"/>
      <c r="Y2" s="373"/>
    </row>
    <row r="3" customFormat="false" ht="15" hidden="false" customHeight="false" outlineLevel="0" collapsed="false">
      <c r="A3" s="372"/>
      <c r="B3" s="372"/>
      <c r="C3" s="372"/>
      <c r="D3" s="372"/>
      <c r="E3" s="372"/>
      <c r="F3" s="372"/>
      <c r="G3" s="372"/>
      <c r="H3" s="372"/>
      <c r="I3" s="372"/>
      <c r="J3" s="372"/>
      <c r="K3" s="372"/>
      <c r="L3" s="372"/>
      <c r="M3" s="372"/>
      <c r="N3" s="372"/>
      <c r="O3" s="372"/>
      <c r="P3" s="372"/>
      <c r="Q3" s="372"/>
      <c r="R3" s="372"/>
      <c r="S3" s="372"/>
      <c r="T3" s="372"/>
      <c r="U3" s="372"/>
      <c r="V3" s="372"/>
      <c r="W3" s="372"/>
      <c r="X3" s="372"/>
      <c r="Y3" s="372"/>
    </row>
    <row r="4" customFormat="false" ht="15" hidden="false" customHeight="false" outlineLevel="0" collapsed="false">
      <c r="A4" s="374" t="s">
        <v>2774</v>
      </c>
      <c r="B4" s="374" t="s">
        <v>305</v>
      </c>
      <c r="C4" s="374" t="s">
        <v>533</v>
      </c>
      <c r="D4" s="372"/>
      <c r="E4" s="372"/>
      <c r="F4" s="372"/>
      <c r="G4" s="372"/>
      <c r="H4" s="372"/>
      <c r="I4" s="372"/>
      <c r="J4" s="372"/>
      <c r="K4" s="372"/>
      <c r="L4" s="372"/>
      <c r="M4" s="372"/>
      <c r="N4" s="372"/>
      <c r="O4" s="372"/>
      <c r="P4" s="372"/>
      <c r="Q4" s="372"/>
      <c r="R4" s="372"/>
      <c r="S4" s="372"/>
      <c r="T4" s="372"/>
      <c r="U4" s="372"/>
      <c r="V4" s="372"/>
      <c r="W4" s="372"/>
      <c r="X4" s="372"/>
      <c r="Y4" s="372"/>
    </row>
    <row r="5" customFormat="false" ht="15" hidden="false" customHeight="false" outlineLevel="0" collapsed="false">
      <c r="A5" s="372" t="s">
        <v>2635</v>
      </c>
      <c r="B5" s="375" t="n">
        <f aca="false">'Fld Ops Payroll'!B7</f>
        <v>0.068</v>
      </c>
      <c r="C5" s="376" t="s">
        <v>3171</v>
      </c>
      <c r="D5" s="372"/>
      <c r="E5" s="372"/>
      <c r="F5" s="372"/>
      <c r="G5" s="372"/>
      <c r="H5" s="372"/>
      <c r="I5" s="372"/>
      <c r="J5" s="372"/>
      <c r="K5" s="372"/>
      <c r="L5" s="372"/>
      <c r="M5" s="372"/>
      <c r="N5" s="372"/>
      <c r="O5" s="372"/>
      <c r="P5" s="372"/>
      <c r="Q5" s="372"/>
      <c r="R5" s="372"/>
      <c r="S5" s="372"/>
      <c r="T5" s="372"/>
      <c r="U5" s="372"/>
      <c r="V5" s="372"/>
      <c r="W5" s="372"/>
      <c r="X5" s="372"/>
      <c r="Y5" s="372"/>
    </row>
    <row r="6" customFormat="false" ht="15" hidden="false" customHeight="false" outlineLevel="0" collapsed="false">
      <c r="A6" s="372" t="s">
        <v>2637</v>
      </c>
      <c r="B6" s="375" t="n">
        <f aca="false">'Fld Ops Payroll'!B8</f>
        <v>0.164</v>
      </c>
      <c r="C6" s="376" t="s">
        <v>3172</v>
      </c>
      <c r="D6" s="372"/>
      <c r="E6" s="372"/>
      <c r="F6" s="372"/>
      <c r="G6" s="372"/>
      <c r="H6" s="372"/>
      <c r="I6" s="372"/>
      <c r="J6" s="372"/>
      <c r="K6" s="372"/>
      <c r="L6" s="372"/>
      <c r="M6" s="372"/>
      <c r="N6" s="372"/>
      <c r="O6" s="372"/>
      <c r="P6" s="372"/>
      <c r="Q6" s="372"/>
      <c r="R6" s="372"/>
      <c r="S6" s="372"/>
      <c r="T6" s="372"/>
      <c r="U6" s="372"/>
      <c r="V6" s="372"/>
      <c r="W6" s="372"/>
      <c r="X6" s="372"/>
      <c r="Y6" s="372"/>
    </row>
    <row r="7" customFormat="false" ht="15" hidden="false" customHeight="false" outlineLevel="0" collapsed="false">
      <c r="A7" s="372" t="s">
        <v>2633</v>
      </c>
      <c r="B7" s="375" t="n">
        <f aca="false">'Prod Payroll'!M5</f>
        <v>0.03</v>
      </c>
      <c r="C7" s="376" t="s">
        <v>3173</v>
      </c>
      <c r="D7" s="372"/>
      <c r="E7" s="372"/>
      <c r="F7" s="372"/>
      <c r="G7" s="372"/>
      <c r="H7" s="372"/>
      <c r="I7" s="372"/>
      <c r="J7" s="372"/>
      <c r="K7" s="372"/>
      <c r="L7" s="372"/>
      <c r="M7" s="372"/>
      <c r="N7" s="372"/>
      <c r="O7" s="372"/>
      <c r="P7" s="372"/>
      <c r="Q7" s="372"/>
      <c r="R7" s="372"/>
      <c r="S7" s="372"/>
      <c r="T7" s="372"/>
      <c r="U7" s="372"/>
      <c r="V7" s="372"/>
      <c r="W7" s="372"/>
      <c r="X7" s="372"/>
      <c r="Y7" s="372"/>
    </row>
    <row r="8" customFormat="false" ht="15" hidden="false" customHeight="false" outlineLevel="0" collapsed="false">
      <c r="A8" s="372" t="s">
        <v>2636</v>
      </c>
      <c r="B8" s="377" t="n">
        <f aca="false">'Prod Payroll'!M6</f>
        <v>46661</v>
      </c>
      <c r="C8" s="376" t="s">
        <v>3174</v>
      </c>
      <c r="D8" s="372"/>
      <c r="E8" s="372"/>
      <c r="F8" s="372"/>
      <c r="G8" s="372"/>
      <c r="H8" s="372"/>
      <c r="I8" s="372"/>
      <c r="J8" s="372"/>
      <c r="K8" s="372"/>
      <c r="L8" s="372"/>
      <c r="M8" s="372"/>
      <c r="N8" s="372"/>
      <c r="O8" s="372"/>
      <c r="P8" s="372"/>
      <c r="Q8" s="372"/>
      <c r="R8" s="372"/>
      <c r="S8" s="372"/>
      <c r="T8" s="372"/>
      <c r="U8" s="372"/>
      <c r="V8" s="372"/>
      <c r="W8" s="372"/>
      <c r="X8" s="372"/>
      <c r="Y8" s="372"/>
    </row>
    <row r="9" customFormat="false" ht="15" hidden="false" customHeight="false" outlineLevel="0" collapsed="false">
      <c r="A9" s="372" t="s">
        <v>2638</v>
      </c>
      <c r="B9" s="378" t="n">
        <f aca="false">'Prod Payroll'!M9</f>
        <v>6</v>
      </c>
      <c r="C9" s="376" t="s">
        <v>3175</v>
      </c>
      <c r="D9" s="372"/>
      <c r="E9" s="372"/>
      <c r="F9" s="372"/>
      <c r="G9" s="372"/>
      <c r="H9" s="372"/>
      <c r="I9" s="372"/>
      <c r="J9" s="372"/>
      <c r="K9" s="372"/>
      <c r="L9" s="372"/>
      <c r="M9" s="372"/>
      <c r="N9" s="372"/>
      <c r="O9" s="372"/>
      <c r="P9" s="372"/>
      <c r="Q9" s="372"/>
      <c r="R9" s="372"/>
      <c r="S9" s="372"/>
      <c r="T9" s="372"/>
      <c r="U9" s="372"/>
      <c r="V9" s="372"/>
      <c r="W9" s="372"/>
      <c r="X9" s="372"/>
      <c r="Y9" s="372"/>
    </row>
    <row r="10" customFormat="false" ht="15" hidden="false" customHeight="false" outlineLevel="0" collapsed="false">
      <c r="A10" s="372" t="s">
        <v>3176</v>
      </c>
      <c r="B10" s="379" t="n">
        <f aca="false">'Prod Payroll'!M7</f>
        <v>1000</v>
      </c>
      <c r="C10" s="376" t="s">
        <v>3177</v>
      </c>
      <c r="D10" s="372"/>
      <c r="E10" s="372"/>
      <c r="F10" s="372"/>
      <c r="G10" s="372"/>
      <c r="H10" s="372"/>
      <c r="I10" s="372"/>
      <c r="J10" s="372"/>
      <c r="K10" s="372"/>
      <c r="L10" s="372"/>
      <c r="M10" s="372"/>
      <c r="N10" s="372"/>
      <c r="O10" s="372"/>
      <c r="P10" s="372"/>
      <c r="Q10" s="372"/>
      <c r="R10" s="372"/>
      <c r="S10" s="372"/>
      <c r="T10" s="372"/>
      <c r="U10" s="372"/>
      <c r="V10" s="372"/>
      <c r="W10" s="372"/>
      <c r="X10" s="372"/>
      <c r="Y10" s="372"/>
    </row>
    <row r="11" customFormat="false" ht="15" hidden="false" customHeight="false" outlineLevel="0" collapsed="false">
      <c r="A11" s="372" t="s">
        <v>3178</v>
      </c>
      <c r="B11" s="380" t="n">
        <v>2080</v>
      </c>
      <c r="C11" s="376" t="s">
        <v>3179</v>
      </c>
      <c r="D11" s="372"/>
      <c r="E11" s="372"/>
      <c r="F11" s="372"/>
      <c r="G11" s="372"/>
      <c r="H11" s="372"/>
      <c r="I11" s="372"/>
      <c r="J11" s="372"/>
      <c r="K11" s="372"/>
      <c r="L11" s="372"/>
      <c r="M11" s="372"/>
      <c r="N11" s="372"/>
      <c r="O11" s="372"/>
      <c r="P11" s="372"/>
      <c r="Q11" s="372"/>
      <c r="R11" s="372"/>
      <c r="S11" s="372"/>
      <c r="T11" s="372"/>
      <c r="U11" s="372"/>
      <c r="V11" s="372"/>
      <c r="W11" s="372"/>
      <c r="X11" s="372"/>
      <c r="Y11" s="372"/>
    </row>
    <row r="12" customFormat="false" ht="15" hidden="false" customHeight="false" outlineLevel="0" collapsed="false">
      <c r="A12" s="372"/>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row>
    <row r="13" customFormat="false" ht="27" hidden="false" customHeight="true" outlineLevel="0" collapsed="false">
      <c r="A13" s="374" t="s">
        <v>3180</v>
      </c>
      <c r="B13" s="381" t="n">
        <f aca="false">DeploySum!B53</f>
        <v>46295</v>
      </c>
      <c r="C13" s="381" t="n">
        <f aca="false">DeploySum!C53</f>
        <v>46326</v>
      </c>
      <c r="D13" s="381" t="n">
        <f aca="false">DeploySum!D53</f>
        <v>46356</v>
      </c>
      <c r="E13" s="381" t="n">
        <f aca="false">DeploySum!E53</f>
        <v>46387</v>
      </c>
      <c r="F13" s="381" t="n">
        <f aca="false">DeploySum!F53</f>
        <v>46418</v>
      </c>
      <c r="G13" s="381" t="n">
        <f aca="false">DeploySum!G53</f>
        <v>46446</v>
      </c>
      <c r="H13" s="381" t="n">
        <f aca="false">DeploySum!H53</f>
        <v>46477</v>
      </c>
      <c r="I13" s="381" t="n">
        <f aca="false">DeploySum!I53</f>
        <v>46507</v>
      </c>
      <c r="J13" s="381" t="n">
        <f aca="false">DeploySum!J53</f>
        <v>46538</v>
      </c>
      <c r="K13" s="381" t="n">
        <f aca="false">DeploySum!K53</f>
        <v>46568</v>
      </c>
      <c r="L13" s="381" t="n">
        <f aca="false">DeploySum!L53</f>
        <v>46599</v>
      </c>
      <c r="M13" s="381" t="n">
        <f aca="false">DeploySum!M53</f>
        <v>46630</v>
      </c>
      <c r="N13" s="381" t="n">
        <f aca="false">DeploySum!N53</f>
        <v>46660</v>
      </c>
      <c r="O13" s="381" t="n">
        <f aca="false">DeploySum!O53</f>
        <v>46691</v>
      </c>
      <c r="P13" s="381" t="n">
        <f aca="false">DeploySum!P53</f>
        <v>46721</v>
      </c>
      <c r="Q13" s="381" t="n">
        <f aca="false">DeploySum!Q53</f>
        <v>46752</v>
      </c>
      <c r="R13" s="382" t="s">
        <v>2664</v>
      </c>
      <c r="S13" s="382" t="s">
        <v>2325</v>
      </c>
      <c r="T13" s="383" t="s">
        <v>214</v>
      </c>
      <c r="U13" s="383" t="s">
        <v>2945</v>
      </c>
      <c r="V13" s="383" t="s">
        <v>3181</v>
      </c>
      <c r="W13" s="383" t="s">
        <v>3182</v>
      </c>
      <c r="X13" s="383" t="s">
        <v>3183</v>
      </c>
      <c r="Y13" s="383" t="s">
        <v>3184</v>
      </c>
    </row>
    <row r="14" customFormat="false" ht="15" hidden="false" customHeight="false" outlineLevel="0" collapsed="false">
      <c r="A14" s="372" t="s">
        <v>3185</v>
      </c>
      <c r="B14" s="384" t="n">
        <f aca="false">IF(OR($U14="",B$13&gt;=$U14),1,0)</f>
        <v>1</v>
      </c>
      <c r="C14" s="384" t="n">
        <f aca="false">IF(OR($U14="",C$13&gt;=$U14),1,0)</f>
        <v>1</v>
      </c>
      <c r="D14" s="384" t="n">
        <f aca="false">IF(OR($U14="",D$13&gt;=$U14),1,0)</f>
        <v>1</v>
      </c>
      <c r="E14" s="384" t="n">
        <f aca="false">IF(OR($U14="",E$13&gt;=$U14),1,0)</f>
        <v>1</v>
      </c>
      <c r="F14" s="384" t="n">
        <f aca="false">IF(OR($U14="",F$13&gt;=$U14),1,0)</f>
        <v>1</v>
      </c>
      <c r="G14" s="384" t="n">
        <f aca="false">IF(OR($U14="",G$13&gt;=$U14),1,0)</f>
        <v>1</v>
      </c>
      <c r="H14" s="384" t="n">
        <f aca="false">IF(OR($U14="",H$13&gt;=$U14),1,0)</f>
        <v>1</v>
      </c>
      <c r="I14" s="384" t="n">
        <f aca="false">IF(OR($U14="",I$13&gt;=$U14),1,0)</f>
        <v>1</v>
      </c>
      <c r="J14" s="384" t="n">
        <f aca="false">IF(OR($U14="",J$13&gt;=$U14),1,0)</f>
        <v>1</v>
      </c>
      <c r="K14" s="384" t="n">
        <f aca="false">IF(OR($U14="",K$13&gt;=$U14),1,0)</f>
        <v>1</v>
      </c>
      <c r="L14" s="384" t="n">
        <f aca="false">IF(OR($U14="",L$13&gt;=$U14),1,0)</f>
        <v>1</v>
      </c>
      <c r="M14" s="384" t="n">
        <f aca="false">IF(OR($U14="",M$13&gt;=$U14),1,0)</f>
        <v>1</v>
      </c>
      <c r="N14" s="384" t="n">
        <f aca="false">IF(OR($U14="",N$13&gt;=$U14),1,0)</f>
        <v>1</v>
      </c>
      <c r="O14" s="384" t="n">
        <f aca="false">IF(OR($U14="",O$13&gt;=$U14),1,0)</f>
        <v>1</v>
      </c>
      <c r="P14" s="384" t="n">
        <f aca="false">IF(OR($U14="",P$13&gt;=$U14),1,0)</f>
        <v>1</v>
      </c>
      <c r="Q14" s="384" t="n">
        <f aca="false">IF(OR($U14="",Q$13&gt;=$U14),1,0)</f>
        <v>1</v>
      </c>
      <c r="R14" s="385" t="n">
        <f aca="false">AVERAGE(B14:E14)</f>
        <v>1</v>
      </c>
      <c r="S14" s="385" t="n">
        <f aca="false">AVERAGE(F14:Q14)</f>
        <v>1</v>
      </c>
      <c r="T14" s="386" t="s">
        <v>221</v>
      </c>
      <c r="U14" s="387"/>
      <c r="V14" s="388" t="s">
        <v>2715</v>
      </c>
      <c r="W14" s="389" t="n">
        <v>120000</v>
      </c>
      <c r="X14" s="390" t="n">
        <f aca="false">IF(V14="Hourly",W14*$B$11,W14)</f>
        <v>120000</v>
      </c>
      <c r="Y14" s="391" t="n">
        <f aca="false">IF(OR(U14="",U14&lt;=EDATE($B$8,-$B$9)),1,0)</f>
        <v>1</v>
      </c>
    </row>
    <row r="15" customFormat="false" ht="15" hidden="false" customHeight="false" outlineLevel="0" collapsed="false">
      <c r="A15" s="372" t="s">
        <v>224</v>
      </c>
      <c r="B15" s="384" t="n">
        <f aca="false">IF(OR($U15="",B$13&gt;=$U15),1,0)</f>
        <v>0</v>
      </c>
      <c r="C15" s="384" t="n">
        <f aca="false">IF(OR($U15="",C$13&gt;=$U15),1,0)</f>
        <v>0</v>
      </c>
      <c r="D15" s="384" t="n">
        <f aca="false">IF(OR($U15="",D$13&gt;=$U15),1,0)</f>
        <v>0</v>
      </c>
      <c r="E15" s="384" t="n">
        <f aca="false">IF(OR($U15="",E$13&gt;=$U15),1,0)</f>
        <v>0</v>
      </c>
      <c r="F15" s="384" t="n">
        <f aca="false">IF(OR($U15="",F$13&gt;=$U15),1,0)</f>
        <v>0</v>
      </c>
      <c r="G15" s="384" t="n">
        <f aca="false">IF(OR($U15="",G$13&gt;=$U15),1,0)</f>
        <v>1</v>
      </c>
      <c r="H15" s="384" t="n">
        <f aca="false">IF(OR($U15="",H$13&gt;=$U15),1,0)</f>
        <v>1</v>
      </c>
      <c r="I15" s="384" t="n">
        <f aca="false">IF(OR($U15="",I$13&gt;=$U15),1,0)</f>
        <v>1</v>
      </c>
      <c r="J15" s="384" t="n">
        <f aca="false">IF(OR($U15="",J$13&gt;=$U15),1,0)</f>
        <v>1</v>
      </c>
      <c r="K15" s="384" t="n">
        <f aca="false">IF(OR($U15="",K$13&gt;=$U15),1,0)</f>
        <v>1</v>
      </c>
      <c r="L15" s="384" t="n">
        <f aca="false">IF(OR($U15="",L$13&gt;=$U15),1,0)</f>
        <v>1</v>
      </c>
      <c r="M15" s="384" t="n">
        <f aca="false">IF(OR($U15="",M$13&gt;=$U15),1,0)</f>
        <v>1</v>
      </c>
      <c r="N15" s="384" t="n">
        <f aca="false">IF(OR($U15="",N$13&gt;=$U15),1,0)</f>
        <v>1</v>
      </c>
      <c r="O15" s="384" t="n">
        <f aca="false">IF(OR($U15="",O$13&gt;=$U15),1,0)</f>
        <v>1</v>
      </c>
      <c r="P15" s="384" t="n">
        <f aca="false">IF(OR($U15="",P$13&gt;=$U15),1,0)</f>
        <v>1</v>
      </c>
      <c r="Q15" s="384" t="n">
        <f aca="false">IF(OR($U15="",Q$13&gt;=$U15),1,0)</f>
        <v>1</v>
      </c>
      <c r="R15" s="385" t="n">
        <f aca="false">AVERAGE(B15:E15)</f>
        <v>0</v>
      </c>
      <c r="S15" s="385" t="n">
        <f aca="false">AVERAGE(F15:Q15)</f>
        <v>0.916666666666667</v>
      </c>
      <c r="T15" s="386" t="s">
        <v>225</v>
      </c>
      <c r="U15" s="387" t="n">
        <v>46419</v>
      </c>
      <c r="V15" s="388" t="s">
        <v>2715</v>
      </c>
      <c r="W15" s="389" t="n">
        <v>48000</v>
      </c>
      <c r="X15" s="390" t="n">
        <f aca="false">IF(V15="Hourly",W15*$B$11,W15)</f>
        <v>48000</v>
      </c>
      <c r="Y15" s="391" t="n">
        <f aca="false">IF(OR(U15="",U15&lt;=EDATE($B$8,-$B$9)),1,0)</f>
        <v>1</v>
      </c>
    </row>
    <row r="16" customFormat="false" ht="15" hidden="false" customHeight="false" outlineLevel="0" collapsed="false">
      <c r="A16" s="372" t="s">
        <v>228</v>
      </c>
      <c r="B16" s="384" t="n">
        <f aca="false">IF(OR($U16="",B$13&gt;=$U16),1,0)</f>
        <v>0</v>
      </c>
      <c r="C16" s="384" t="n">
        <f aca="false">IF(OR($U16="",C$13&gt;=$U16),1,0)</f>
        <v>0</v>
      </c>
      <c r="D16" s="384" t="n">
        <f aca="false">IF(OR($U16="",D$13&gt;=$U16),1,0)</f>
        <v>0</v>
      </c>
      <c r="E16" s="384" t="n">
        <f aca="false">IF(OR($U16="",E$13&gt;=$U16),1,0)</f>
        <v>1</v>
      </c>
      <c r="F16" s="384" t="n">
        <f aca="false">IF(OR($U16="",F$13&gt;=$U16),1,0)</f>
        <v>1</v>
      </c>
      <c r="G16" s="384" t="n">
        <f aca="false">IF(OR($U16="",G$13&gt;=$U16),1,0)</f>
        <v>1</v>
      </c>
      <c r="H16" s="384" t="n">
        <f aca="false">IF(OR($U16="",H$13&gt;=$U16),1,0)</f>
        <v>1</v>
      </c>
      <c r="I16" s="384" t="n">
        <f aca="false">IF(OR($U16="",I$13&gt;=$U16),1,0)</f>
        <v>1</v>
      </c>
      <c r="J16" s="384" t="n">
        <f aca="false">IF(OR($U16="",J$13&gt;=$U16),1,0)</f>
        <v>1</v>
      </c>
      <c r="K16" s="384" t="n">
        <f aca="false">IF(OR($U16="",K$13&gt;=$U16),1,0)</f>
        <v>1</v>
      </c>
      <c r="L16" s="384" t="n">
        <f aca="false">IF(OR($U16="",L$13&gt;=$U16),1,0)</f>
        <v>1</v>
      </c>
      <c r="M16" s="384" t="n">
        <f aca="false">IF(OR($U16="",M$13&gt;=$U16),1,0)</f>
        <v>1</v>
      </c>
      <c r="N16" s="384" t="n">
        <f aca="false">IF(OR($U16="",N$13&gt;=$U16),1,0)</f>
        <v>1</v>
      </c>
      <c r="O16" s="384" t="n">
        <f aca="false">IF(OR($U16="",O$13&gt;=$U16),1,0)</f>
        <v>1</v>
      </c>
      <c r="P16" s="384" t="n">
        <f aca="false">IF(OR($U16="",P$13&gt;=$U16),1,0)</f>
        <v>1</v>
      </c>
      <c r="Q16" s="384" t="n">
        <f aca="false">IF(OR($U16="",Q$13&gt;=$U16),1,0)</f>
        <v>1</v>
      </c>
      <c r="R16" s="385" t="n">
        <f aca="false">AVERAGE(B16:E16)</f>
        <v>0.25</v>
      </c>
      <c r="S16" s="385" t="n">
        <f aca="false">AVERAGE(F16:Q16)</f>
        <v>1</v>
      </c>
      <c r="T16" s="386" t="s">
        <v>229</v>
      </c>
      <c r="U16" s="387" t="n">
        <v>46357</v>
      </c>
      <c r="V16" s="388" t="s">
        <v>3186</v>
      </c>
      <c r="W16" s="392" t="n">
        <v>25</v>
      </c>
      <c r="X16" s="390" t="n">
        <f aca="false">IF(V16="Hourly",W16*$B$11,W16)</f>
        <v>52000</v>
      </c>
      <c r="Y16" s="391" t="n">
        <f aca="false">IF(OR(U16="",U16&lt;=EDATE($B$8,-$B$9)),1,0)</f>
        <v>1</v>
      </c>
    </row>
    <row r="17" customFormat="false" ht="15" hidden="false" customHeight="false" outlineLevel="0" collapsed="false">
      <c r="A17" s="372" t="s">
        <v>232</v>
      </c>
      <c r="B17" s="384" t="n">
        <f aca="false">IF(OR($U17="",B$13&gt;=$U17),1,0)</f>
        <v>0</v>
      </c>
      <c r="C17" s="384" t="n">
        <f aca="false">IF(OR($U17="",C$13&gt;=$U17),1,0)</f>
        <v>0</v>
      </c>
      <c r="D17" s="384" t="n">
        <f aca="false">IF(OR($U17="",D$13&gt;=$U17),1,0)</f>
        <v>0</v>
      </c>
      <c r="E17" s="384" t="n">
        <f aca="false">IF(OR($U17="",E$13&gt;=$U17),1,0)</f>
        <v>0</v>
      </c>
      <c r="F17" s="384" t="n">
        <f aca="false">IF(OR($U17="",F$13&gt;=$U17),1,0)</f>
        <v>0</v>
      </c>
      <c r="G17" s="384" t="n">
        <f aca="false">IF(OR($U17="",G$13&gt;=$U17),1,0)</f>
        <v>0</v>
      </c>
      <c r="H17" s="384" t="n">
        <f aca="false">IF(OR($U17="",H$13&gt;=$U17),1,0)</f>
        <v>0</v>
      </c>
      <c r="I17" s="384" t="n">
        <f aca="false">IF(OR($U17="",I$13&gt;=$U17),1,0)</f>
        <v>0</v>
      </c>
      <c r="J17" s="384" t="n">
        <f aca="false">IF(OR($U17="",J$13&gt;=$U17),1,0)</f>
        <v>0</v>
      </c>
      <c r="K17" s="384" t="n">
        <f aca="false">IF(OR($U17="",K$13&gt;=$U17),1,0)</f>
        <v>0</v>
      </c>
      <c r="L17" s="384" t="n">
        <f aca="false">IF(OR($U17="",L$13&gt;=$U17),1,0)</f>
        <v>1</v>
      </c>
      <c r="M17" s="384" t="n">
        <f aca="false">IF(OR($U17="",M$13&gt;=$U17),1,0)</f>
        <v>1</v>
      </c>
      <c r="N17" s="384" t="n">
        <f aca="false">IF(OR($U17="",N$13&gt;=$U17),1,0)</f>
        <v>1</v>
      </c>
      <c r="O17" s="384" t="n">
        <f aca="false">IF(OR($U17="",O$13&gt;=$U17),1,0)</f>
        <v>1</v>
      </c>
      <c r="P17" s="384" t="n">
        <f aca="false">IF(OR($U17="",P$13&gt;=$U17),1,0)</f>
        <v>1</v>
      </c>
      <c r="Q17" s="384" t="n">
        <f aca="false">IF(OR($U17="",Q$13&gt;=$U17),1,0)</f>
        <v>1</v>
      </c>
      <c r="R17" s="385" t="n">
        <f aca="false">AVERAGE(B17:E17)</f>
        <v>0</v>
      </c>
      <c r="S17" s="385" t="n">
        <f aca="false">AVERAGE(F17:Q17)</f>
        <v>0.5</v>
      </c>
      <c r="T17" s="386" t="s">
        <v>233</v>
      </c>
      <c r="U17" s="387" t="n">
        <v>46569</v>
      </c>
      <c r="V17" s="388" t="s">
        <v>3186</v>
      </c>
      <c r="W17" s="392" t="n">
        <v>25</v>
      </c>
      <c r="X17" s="390" t="n">
        <f aca="false">IF(V17="Hourly",W17*$B$11,W17)</f>
        <v>52000</v>
      </c>
      <c r="Y17" s="391" t="n">
        <f aca="false">IF(OR(U17="",U17&lt;=EDATE($B$8,-$B$9)),1,0)</f>
        <v>0</v>
      </c>
    </row>
    <row r="18" customFormat="false" ht="15" hidden="false" customHeight="false" outlineLevel="0" collapsed="false">
      <c r="A18" s="372" t="s">
        <v>3187</v>
      </c>
      <c r="B18" s="384" t="n">
        <f aca="false">IF(OR($U18="",B$13&gt;=$U18),1,0)</f>
        <v>1</v>
      </c>
      <c r="C18" s="384" t="n">
        <f aca="false">IF(OR($U18="",C$13&gt;=$U18),1,0)</f>
        <v>1</v>
      </c>
      <c r="D18" s="384" t="n">
        <f aca="false">IF(OR($U18="",D$13&gt;=$U18),1,0)</f>
        <v>1</v>
      </c>
      <c r="E18" s="384" t="n">
        <f aca="false">IF(OR($U18="",E$13&gt;=$U18),1,0)</f>
        <v>1</v>
      </c>
      <c r="F18" s="384" t="n">
        <f aca="false">IF(OR($U18="",F$13&gt;=$U18),1,0)</f>
        <v>1</v>
      </c>
      <c r="G18" s="384" t="n">
        <f aca="false">IF(OR($U18="",G$13&gt;=$U18),1,0)</f>
        <v>1</v>
      </c>
      <c r="H18" s="384" t="n">
        <f aca="false">IF(OR($U18="",H$13&gt;=$U18),1,0)</f>
        <v>1</v>
      </c>
      <c r="I18" s="384" t="n">
        <f aca="false">IF(OR($U18="",I$13&gt;=$U18),1,0)</f>
        <v>1</v>
      </c>
      <c r="J18" s="384" t="n">
        <f aca="false">IF(OR($U18="",J$13&gt;=$U18),1,0)</f>
        <v>1</v>
      </c>
      <c r="K18" s="384" t="n">
        <f aca="false">IF(OR($U18="",K$13&gt;=$U18),1,0)</f>
        <v>1</v>
      </c>
      <c r="L18" s="384" t="n">
        <f aca="false">IF(OR($U18="",L$13&gt;=$U18),1,0)</f>
        <v>1</v>
      </c>
      <c r="M18" s="384" t="n">
        <f aca="false">IF(OR($U18="",M$13&gt;=$U18),1,0)</f>
        <v>1</v>
      </c>
      <c r="N18" s="384" t="n">
        <f aca="false">IF(OR($U18="",N$13&gt;=$U18),1,0)</f>
        <v>1</v>
      </c>
      <c r="O18" s="384" t="n">
        <f aca="false">IF(OR($U18="",O$13&gt;=$U18),1,0)</f>
        <v>1</v>
      </c>
      <c r="P18" s="384" t="n">
        <f aca="false">IF(OR($U18="",P$13&gt;=$U18),1,0)</f>
        <v>1</v>
      </c>
      <c r="Q18" s="384" t="n">
        <f aca="false">IF(OR($U18="",Q$13&gt;=$U18),1,0)</f>
        <v>1</v>
      </c>
      <c r="R18" s="385" t="n">
        <f aca="false">AVERAGE(B18:E18)</f>
        <v>1</v>
      </c>
      <c r="S18" s="385" t="n">
        <f aca="false">AVERAGE(F18:Q18)</f>
        <v>1</v>
      </c>
      <c r="T18" s="386" t="s">
        <v>229</v>
      </c>
      <c r="U18" s="387"/>
      <c r="V18" s="388" t="s">
        <v>3186</v>
      </c>
      <c r="W18" s="392" t="n">
        <v>24</v>
      </c>
      <c r="X18" s="390" t="n">
        <f aca="false">IF(V18="Hourly",W18*$B$11,W18)</f>
        <v>49920</v>
      </c>
      <c r="Y18" s="391" t="n">
        <f aca="false">IF(OR(U18="",U18&lt;=EDATE($B$8,-$B$9)),1,0)</f>
        <v>1</v>
      </c>
    </row>
    <row r="19" customFormat="false" ht="15" hidden="false" customHeight="false" outlineLevel="0" collapsed="false">
      <c r="A19" s="372" t="s">
        <v>3188</v>
      </c>
      <c r="B19" s="384" t="n">
        <f aca="false">IF(OR($U19="",B$13&gt;=$U19),1,0)</f>
        <v>0</v>
      </c>
      <c r="C19" s="384" t="n">
        <f aca="false">IF(OR($U19="",C$13&gt;=$U19),1,0)</f>
        <v>1</v>
      </c>
      <c r="D19" s="384" t="n">
        <f aca="false">IF(OR($U19="",D$13&gt;=$U19),1,0)</f>
        <v>1</v>
      </c>
      <c r="E19" s="384" t="n">
        <f aca="false">IF(OR($U19="",E$13&gt;=$U19),1,0)</f>
        <v>1</v>
      </c>
      <c r="F19" s="384" t="n">
        <f aca="false">IF(OR($U19="",F$13&gt;=$U19),1,0)</f>
        <v>1</v>
      </c>
      <c r="G19" s="384" t="n">
        <f aca="false">IF(OR($U19="",G$13&gt;=$U19),1,0)</f>
        <v>1</v>
      </c>
      <c r="H19" s="384" t="n">
        <f aca="false">IF(OR($U19="",H$13&gt;=$U19),1,0)</f>
        <v>1</v>
      </c>
      <c r="I19" s="384" t="n">
        <f aca="false">IF(OR($U19="",I$13&gt;=$U19),1,0)</f>
        <v>1</v>
      </c>
      <c r="J19" s="384" t="n">
        <f aca="false">IF(OR($U19="",J$13&gt;=$U19),1,0)</f>
        <v>1</v>
      </c>
      <c r="K19" s="384" t="n">
        <f aca="false">IF(OR($U19="",K$13&gt;=$U19),1,0)</f>
        <v>1</v>
      </c>
      <c r="L19" s="384" t="n">
        <f aca="false">IF(OR($U19="",L$13&gt;=$U19),1,0)</f>
        <v>1</v>
      </c>
      <c r="M19" s="384" t="n">
        <f aca="false">IF(OR($U19="",M$13&gt;=$U19),1,0)</f>
        <v>1</v>
      </c>
      <c r="N19" s="384" t="n">
        <f aca="false">IF(OR($U19="",N$13&gt;=$U19),1,0)</f>
        <v>1</v>
      </c>
      <c r="O19" s="384" t="n">
        <f aca="false">IF(OR($U19="",O$13&gt;=$U19),1,0)</f>
        <v>1</v>
      </c>
      <c r="P19" s="384" t="n">
        <f aca="false">IF(OR($U19="",P$13&gt;=$U19),1,0)</f>
        <v>1</v>
      </c>
      <c r="Q19" s="384" t="n">
        <f aca="false">IF(OR($U19="",Q$13&gt;=$U19),1,0)</f>
        <v>1</v>
      </c>
      <c r="R19" s="385" t="n">
        <f aca="false">AVERAGE(B19:E19)</f>
        <v>0.75</v>
      </c>
      <c r="S19" s="385" t="n">
        <f aca="false">AVERAGE(F19:Q19)</f>
        <v>1</v>
      </c>
      <c r="T19" s="386" t="s">
        <v>229</v>
      </c>
      <c r="U19" s="387" t="n">
        <v>46296</v>
      </c>
      <c r="V19" s="388" t="s">
        <v>3186</v>
      </c>
      <c r="W19" s="393" t="n">
        <f aca="false">$W$18</f>
        <v>24</v>
      </c>
      <c r="X19" s="390" t="n">
        <f aca="false">IF(V19="Hourly",W19*$B$11,W19)</f>
        <v>49920</v>
      </c>
      <c r="Y19" s="391" t="n">
        <f aca="false">IF(OR(U19="",U19&lt;=EDATE($B$8,-$B$9)),1,0)</f>
        <v>1</v>
      </c>
    </row>
    <row r="20" customFormat="false" ht="15" hidden="false" customHeight="false" outlineLevel="0" collapsed="false">
      <c r="A20" s="372" t="s">
        <v>240</v>
      </c>
      <c r="B20" s="384" t="n">
        <f aca="false">IF(OR($U20="",B$13&gt;=$U20),1,0)</f>
        <v>0</v>
      </c>
      <c r="C20" s="384" t="n">
        <f aca="false">IF(OR($U20="",C$13&gt;=$U20),1,0)</f>
        <v>0</v>
      </c>
      <c r="D20" s="384" t="n">
        <f aca="false">IF(OR($U20="",D$13&gt;=$U20),1,0)</f>
        <v>0</v>
      </c>
      <c r="E20" s="384" t="n">
        <f aca="false">IF(OR($U20="",E$13&gt;=$U20),1,0)</f>
        <v>0</v>
      </c>
      <c r="F20" s="384" t="n">
        <f aca="false">IF(OR($U20="",F$13&gt;=$U20),1,0)</f>
        <v>0</v>
      </c>
      <c r="G20" s="384" t="n">
        <f aca="false">IF(OR($U20="",G$13&gt;=$U20),1,0)</f>
        <v>0</v>
      </c>
      <c r="H20" s="384" t="n">
        <f aca="false">IF(OR($U20="",H$13&gt;=$U20),1,0)</f>
        <v>0</v>
      </c>
      <c r="I20" s="384" t="n">
        <f aca="false">IF(OR($U20="",I$13&gt;=$U20),1,0)</f>
        <v>0</v>
      </c>
      <c r="J20" s="384" t="n">
        <f aca="false">IF(OR($U20="",J$13&gt;=$U20),1,0)</f>
        <v>0</v>
      </c>
      <c r="K20" s="384" t="n">
        <f aca="false">IF(OR($U20="",K$13&gt;=$U20),1,0)</f>
        <v>0</v>
      </c>
      <c r="L20" s="384" t="n">
        <f aca="false">IF(OR($U20="",L$13&gt;=$U20),1,0)</f>
        <v>1</v>
      </c>
      <c r="M20" s="384" t="n">
        <f aca="false">IF(OR($U20="",M$13&gt;=$U20),1,0)</f>
        <v>1</v>
      </c>
      <c r="N20" s="384" t="n">
        <f aca="false">IF(OR($U20="",N$13&gt;=$U20),1,0)</f>
        <v>1</v>
      </c>
      <c r="O20" s="384" t="n">
        <f aca="false">IF(OR($U20="",O$13&gt;=$U20),1,0)</f>
        <v>1</v>
      </c>
      <c r="P20" s="384" t="n">
        <f aca="false">IF(OR($U20="",P$13&gt;=$U20),1,0)</f>
        <v>1</v>
      </c>
      <c r="Q20" s="384" t="n">
        <f aca="false">IF(OR($U20="",Q$13&gt;=$U20),1,0)</f>
        <v>1</v>
      </c>
      <c r="R20" s="385" t="n">
        <f aca="false">AVERAGE(B20:E20)</f>
        <v>0</v>
      </c>
      <c r="S20" s="385" t="n">
        <f aca="false">AVERAGE(F20:Q20)</f>
        <v>0.5</v>
      </c>
      <c r="T20" s="386" t="s">
        <v>229</v>
      </c>
      <c r="U20" s="387" t="n">
        <v>46569</v>
      </c>
      <c r="V20" s="388" t="s">
        <v>3186</v>
      </c>
      <c r="W20" s="393" t="n">
        <f aca="false">$W$18</f>
        <v>24</v>
      </c>
      <c r="X20" s="390" t="n">
        <f aca="false">IF(V20="Hourly",W20*$B$11,W20)</f>
        <v>49920</v>
      </c>
      <c r="Y20" s="391" t="n">
        <f aca="false">IF(OR(U20="",U20&lt;=EDATE($B$8,-$B$9)),1,0)</f>
        <v>0</v>
      </c>
    </row>
    <row r="21" customFormat="false" ht="15" hidden="false" customHeight="false" outlineLevel="0" collapsed="false">
      <c r="A21" s="372" t="s">
        <v>241</v>
      </c>
      <c r="B21" s="384" t="n">
        <f aca="false">IF(OR($U21="",B$13&gt;=$U21),1,0)</f>
        <v>0</v>
      </c>
      <c r="C21" s="384" t="n">
        <f aca="false">IF(OR($U21="",C$13&gt;=$U21),1,0)</f>
        <v>0</v>
      </c>
      <c r="D21" s="384" t="n">
        <f aca="false">IF(OR($U21="",D$13&gt;=$U21),1,0)</f>
        <v>0</v>
      </c>
      <c r="E21" s="384" t="n">
        <f aca="false">IF(OR($U21="",E$13&gt;=$U21),1,0)</f>
        <v>0</v>
      </c>
      <c r="F21" s="384" t="n">
        <f aca="false">IF(OR($U21="",F$13&gt;=$U21),1,0)</f>
        <v>0</v>
      </c>
      <c r="G21" s="384" t="n">
        <f aca="false">IF(OR($U21="",G$13&gt;=$U21),1,0)</f>
        <v>0</v>
      </c>
      <c r="H21" s="384" t="n">
        <f aca="false">IF(OR($U21="",H$13&gt;=$U21),1,0)</f>
        <v>1</v>
      </c>
      <c r="I21" s="384" t="n">
        <f aca="false">IF(OR($U21="",I$13&gt;=$U21),1,0)</f>
        <v>1</v>
      </c>
      <c r="J21" s="384" t="n">
        <f aca="false">IF(OR($U21="",J$13&gt;=$U21),1,0)</f>
        <v>1</v>
      </c>
      <c r="K21" s="384" t="n">
        <f aca="false">IF(OR($U21="",K$13&gt;=$U21),1,0)</f>
        <v>1</v>
      </c>
      <c r="L21" s="384" t="n">
        <f aca="false">IF(OR($U21="",L$13&gt;=$U21),1,0)</f>
        <v>1</v>
      </c>
      <c r="M21" s="384" t="n">
        <f aca="false">IF(OR($U21="",M$13&gt;=$U21),1,0)</f>
        <v>1</v>
      </c>
      <c r="N21" s="384" t="n">
        <f aca="false">IF(OR($U21="",N$13&gt;=$U21),1,0)</f>
        <v>1</v>
      </c>
      <c r="O21" s="384" t="n">
        <f aca="false">IF(OR($U21="",O$13&gt;=$U21),1,0)</f>
        <v>1</v>
      </c>
      <c r="P21" s="384" t="n">
        <f aca="false">IF(OR($U21="",P$13&gt;=$U21),1,0)</f>
        <v>1</v>
      </c>
      <c r="Q21" s="384" t="n">
        <f aca="false">IF(OR($U21="",Q$13&gt;=$U21),1,0)</f>
        <v>1</v>
      </c>
      <c r="R21" s="385" t="n">
        <f aca="false">AVERAGE(B21:E21)</f>
        <v>0</v>
      </c>
      <c r="S21" s="385" t="n">
        <f aca="false">AVERAGE(F21:Q21)</f>
        <v>0.833333333333333</v>
      </c>
      <c r="T21" s="386" t="s">
        <v>233</v>
      </c>
      <c r="U21" s="387" t="n">
        <v>46447</v>
      </c>
      <c r="V21" s="388" t="s">
        <v>3186</v>
      </c>
      <c r="W21" s="393" t="n">
        <f aca="false">$W$18</f>
        <v>24</v>
      </c>
      <c r="X21" s="390" t="n">
        <f aca="false">IF(V21="Hourly",W21*$B$11,W21)</f>
        <v>49920</v>
      </c>
      <c r="Y21" s="391" t="n">
        <f aca="false">IF(OR(U21="",U21&lt;=EDATE($B$8,-$B$9)),1,0)</f>
        <v>1</v>
      </c>
    </row>
    <row r="22" customFormat="false" ht="15" hidden="false" customHeight="false" outlineLevel="0" collapsed="false">
      <c r="A22" s="372" t="s">
        <v>243</v>
      </c>
      <c r="B22" s="384" t="n">
        <f aca="false">IF(OR($U22="",B$13&gt;=$U22),1,0)</f>
        <v>0</v>
      </c>
      <c r="C22" s="384" t="n">
        <f aca="false">IF(OR($U22="",C$13&gt;=$U22),1,0)</f>
        <v>0</v>
      </c>
      <c r="D22" s="384" t="n">
        <f aca="false">IF(OR($U22="",D$13&gt;=$U22),1,0)</f>
        <v>0</v>
      </c>
      <c r="E22" s="384" t="n">
        <f aca="false">IF(OR($U22="",E$13&gt;=$U22),1,0)</f>
        <v>0</v>
      </c>
      <c r="F22" s="384" t="n">
        <f aca="false">IF(OR($U22="",F$13&gt;=$U22),1,0)</f>
        <v>0</v>
      </c>
      <c r="G22" s="384" t="n">
        <f aca="false">IF(OR($U22="",G$13&gt;=$U22),1,0)</f>
        <v>0</v>
      </c>
      <c r="H22" s="384" t="n">
        <f aca="false">IF(OR($U22="",H$13&gt;=$U22),1,0)</f>
        <v>0</v>
      </c>
      <c r="I22" s="384" t="n">
        <f aca="false">IF(OR($U22="",I$13&gt;=$U22),1,0)</f>
        <v>0</v>
      </c>
      <c r="J22" s="384" t="n">
        <f aca="false">IF(OR($U22="",J$13&gt;=$U22),1,0)</f>
        <v>0</v>
      </c>
      <c r="K22" s="384" t="n">
        <f aca="false">IF(OR($U22="",K$13&gt;=$U22),1,0)</f>
        <v>1</v>
      </c>
      <c r="L22" s="384" t="n">
        <f aca="false">IF(OR($U22="",L$13&gt;=$U22),1,0)</f>
        <v>1</v>
      </c>
      <c r="M22" s="384" t="n">
        <f aca="false">IF(OR($U22="",M$13&gt;=$U22),1,0)</f>
        <v>1</v>
      </c>
      <c r="N22" s="384" t="n">
        <f aca="false">IF(OR($U22="",N$13&gt;=$U22),1,0)</f>
        <v>1</v>
      </c>
      <c r="O22" s="384" t="n">
        <f aca="false">IF(OR($U22="",O$13&gt;=$U22),1,0)</f>
        <v>1</v>
      </c>
      <c r="P22" s="384" t="n">
        <f aca="false">IF(OR($U22="",P$13&gt;=$U22),1,0)</f>
        <v>1</v>
      </c>
      <c r="Q22" s="384" t="n">
        <f aca="false">IF(OR($U22="",Q$13&gt;=$U22),1,0)</f>
        <v>1</v>
      </c>
      <c r="R22" s="385" t="n">
        <f aca="false">AVERAGE(B22:E22)</f>
        <v>0</v>
      </c>
      <c r="S22" s="385" t="n">
        <f aca="false">AVERAGE(F22:Q22)</f>
        <v>0.583333333333333</v>
      </c>
      <c r="T22" s="386" t="s">
        <v>233</v>
      </c>
      <c r="U22" s="387" t="n">
        <v>46539</v>
      </c>
      <c r="V22" s="388" t="s">
        <v>3186</v>
      </c>
      <c r="W22" s="393" t="n">
        <f aca="false">$W$18</f>
        <v>24</v>
      </c>
      <c r="X22" s="390" t="n">
        <f aca="false">IF(V22="Hourly",W22*$B$11,W22)</f>
        <v>49920</v>
      </c>
      <c r="Y22" s="391" t="n">
        <f aca="false">IF(OR(U22="",U22&lt;=EDATE($B$8,-$B$9)),1,0)</f>
        <v>0</v>
      </c>
    </row>
    <row r="23" customFormat="false" ht="15" hidden="false" customHeight="false" outlineLevel="0" collapsed="false">
      <c r="A23" s="394" t="s">
        <v>3189</v>
      </c>
      <c r="B23" s="395" t="n">
        <f aca="false">SUM(B14:B22)</f>
        <v>2</v>
      </c>
      <c r="C23" s="395" t="n">
        <f aca="false">SUM(C14:C22)</f>
        <v>3</v>
      </c>
      <c r="D23" s="395" t="n">
        <f aca="false">SUM(D14:D22)</f>
        <v>3</v>
      </c>
      <c r="E23" s="395" t="n">
        <f aca="false">SUM(E14:E22)</f>
        <v>4</v>
      </c>
      <c r="F23" s="395" t="n">
        <f aca="false">SUM(F14:F22)</f>
        <v>4</v>
      </c>
      <c r="G23" s="395" t="n">
        <f aca="false">SUM(G14:G22)</f>
        <v>5</v>
      </c>
      <c r="H23" s="395" t="n">
        <f aca="false">SUM(H14:H22)</f>
        <v>6</v>
      </c>
      <c r="I23" s="395" t="n">
        <f aca="false">SUM(I14:I22)</f>
        <v>6</v>
      </c>
      <c r="J23" s="395" t="n">
        <f aca="false">SUM(J14:J22)</f>
        <v>6</v>
      </c>
      <c r="K23" s="395" t="n">
        <f aca="false">SUM(K14:K22)</f>
        <v>7</v>
      </c>
      <c r="L23" s="395" t="n">
        <f aca="false">SUM(L14:L22)</f>
        <v>9</v>
      </c>
      <c r="M23" s="395" t="n">
        <f aca="false">SUM(M14:M22)</f>
        <v>9</v>
      </c>
      <c r="N23" s="395" t="n">
        <f aca="false">SUM(N14:N22)</f>
        <v>9</v>
      </c>
      <c r="O23" s="395" t="n">
        <f aca="false">SUM(O14:O22)</f>
        <v>9</v>
      </c>
      <c r="P23" s="395" t="n">
        <f aca="false">SUM(P14:P22)</f>
        <v>9</v>
      </c>
      <c r="Q23" s="395" t="n">
        <f aca="false">SUM(Q14:Q22)</f>
        <v>9</v>
      </c>
      <c r="R23" s="396" t="n">
        <f aca="false">AVERAGE(B23:E23)</f>
        <v>3</v>
      </c>
      <c r="S23" s="396" t="n">
        <f aca="false">AVERAGE(F23:Q23)</f>
        <v>7.33333333333333</v>
      </c>
      <c r="T23" s="385"/>
      <c r="U23" s="385"/>
      <c r="V23" s="385"/>
      <c r="W23" s="385"/>
      <c r="X23" s="385"/>
      <c r="Y23" s="385"/>
    </row>
    <row r="24" customFormat="false" ht="15" hidden="false" customHeight="false" outlineLevel="0" collapsed="false">
      <c r="A24" s="372" t="s">
        <v>3190</v>
      </c>
      <c r="B24" s="384" t="n">
        <f aca="false">SUMPRODUCT(($U$14:$U$22&gt;EOMONTH(B$13,-1))*($U$14:$U$22&lt;=B$13))</f>
        <v>0</v>
      </c>
      <c r="C24" s="384" t="n">
        <f aca="false">SUMPRODUCT(($U$14:$U$22&gt;EOMONTH(C$13,-1))*($U$14:$U$22&lt;=C$13))</f>
        <v>1</v>
      </c>
      <c r="D24" s="384" t="n">
        <f aca="false">SUMPRODUCT(($U$14:$U$22&gt;EOMONTH(D$13,-1))*($U$14:$U$22&lt;=D$13))</f>
        <v>0</v>
      </c>
      <c r="E24" s="384" t="n">
        <f aca="false">SUMPRODUCT(($U$14:$U$22&gt;EOMONTH(E$13,-1))*($U$14:$U$22&lt;=E$13))</f>
        <v>1</v>
      </c>
      <c r="F24" s="384" t="n">
        <f aca="false">SUMPRODUCT(($U$14:$U$22&gt;EOMONTH(F$13,-1))*($U$14:$U$22&lt;=F$13))</f>
        <v>0</v>
      </c>
      <c r="G24" s="384" t="n">
        <f aca="false">SUMPRODUCT(($U$14:$U$22&gt;EOMONTH(G$13,-1))*($U$14:$U$22&lt;=G$13))</f>
        <v>1</v>
      </c>
      <c r="H24" s="384" t="n">
        <f aca="false">SUMPRODUCT(($U$14:$U$22&gt;EOMONTH(H$13,-1))*($U$14:$U$22&lt;=H$13))</f>
        <v>1</v>
      </c>
      <c r="I24" s="384" t="n">
        <f aca="false">SUMPRODUCT(($U$14:$U$22&gt;EOMONTH(I$13,-1))*($U$14:$U$22&lt;=I$13))</f>
        <v>0</v>
      </c>
      <c r="J24" s="384" t="n">
        <f aca="false">SUMPRODUCT(($U$14:$U$22&gt;EOMONTH(J$13,-1))*($U$14:$U$22&lt;=J$13))</f>
        <v>0</v>
      </c>
      <c r="K24" s="384" t="n">
        <f aca="false">SUMPRODUCT(($U$14:$U$22&gt;EOMONTH(K$13,-1))*($U$14:$U$22&lt;=K$13))</f>
        <v>1</v>
      </c>
      <c r="L24" s="384" t="n">
        <f aca="false">SUMPRODUCT(($U$14:$U$22&gt;EOMONTH(L$13,-1))*($U$14:$U$22&lt;=L$13))</f>
        <v>2</v>
      </c>
      <c r="M24" s="384" t="n">
        <f aca="false">SUMPRODUCT(($U$14:$U$22&gt;EOMONTH(M$13,-1))*($U$14:$U$22&lt;=M$13))</f>
        <v>0</v>
      </c>
      <c r="N24" s="384" t="n">
        <f aca="false">SUMPRODUCT(($U$14:$U$22&gt;EOMONTH(N$13,-1))*($U$14:$U$22&lt;=N$13))</f>
        <v>0</v>
      </c>
      <c r="O24" s="384" t="n">
        <f aca="false">SUMPRODUCT(($U$14:$U$22&gt;EOMONTH(O$13,-1))*($U$14:$U$22&lt;=O$13))</f>
        <v>0</v>
      </c>
      <c r="P24" s="384" t="n">
        <f aca="false">SUMPRODUCT(($U$14:$U$22&gt;EOMONTH(P$13,-1))*($U$14:$U$22&lt;=P$13))</f>
        <v>0</v>
      </c>
      <c r="Q24" s="384" t="n">
        <f aca="false">SUMPRODUCT(($U$14:$U$22&gt;EOMONTH(Q$13,-1))*($U$14:$U$22&lt;=Q$13))</f>
        <v>0</v>
      </c>
      <c r="R24" s="397" t="n">
        <f aca="false">SUM(B24:E24)</f>
        <v>2</v>
      </c>
      <c r="S24" s="397" t="n">
        <f aca="false">SUM(F24:Q24)</f>
        <v>5</v>
      </c>
      <c r="T24" s="397"/>
      <c r="U24" s="397"/>
      <c r="V24" s="397"/>
      <c r="W24" s="397"/>
      <c r="X24" s="397"/>
      <c r="Y24" s="397"/>
    </row>
    <row r="25" customFormat="false" ht="15" hidden="false" customHeight="false" outlineLevel="0" collapsed="false">
      <c r="A25" s="372"/>
      <c r="B25" s="384"/>
      <c r="C25" s="384"/>
      <c r="D25" s="384"/>
      <c r="E25" s="384"/>
      <c r="F25" s="384"/>
      <c r="G25" s="384"/>
      <c r="H25" s="384"/>
      <c r="I25" s="384"/>
      <c r="J25" s="384"/>
      <c r="K25" s="384"/>
      <c r="L25" s="384"/>
      <c r="M25" s="384"/>
      <c r="N25" s="384"/>
      <c r="O25" s="384"/>
      <c r="P25" s="384"/>
      <c r="Q25" s="384"/>
      <c r="R25" s="372"/>
      <c r="S25" s="372"/>
      <c r="T25" s="372"/>
      <c r="U25" s="372"/>
      <c r="V25" s="372"/>
      <c r="W25" s="372"/>
      <c r="X25" s="372"/>
      <c r="Y25" s="372"/>
    </row>
    <row r="26" customFormat="false" ht="15" hidden="false" customHeight="false" outlineLevel="0" collapsed="false">
      <c r="A26" s="374" t="s">
        <v>3191</v>
      </c>
      <c r="B26" s="381" t="n">
        <f aca="false">DeploySum!B53</f>
        <v>46295</v>
      </c>
      <c r="C26" s="381" t="n">
        <f aca="false">DeploySum!C53</f>
        <v>46326</v>
      </c>
      <c r="D26" s="381" t="n">
        <f aca="false">DeploySum!D53</f>
        <v>46356</v>
      </c>
      <c r="E26" s="381" t="n">
        <f aca="false">DeploySum!E53</f>
        <v>46387</v>
      </c>
      <c r="F26" s="381" t="n">
        <f aca="false">DeploySum!F53</f>
        <v>46418</v>
      </c>
      <c r="G26" s="381" t="n">
        <f aca="false">DeploySum!G53</f>
        <v>46446</v>
      </c>
      <c r="H26" s="381" t="n">
        <f aca="false">DeploySum!H53</f>
        <v>46477</v>
      </c>
      <c r="I26" s="381" t="n">
        <f aca="false">DeploySum!I53</f>
        <v>46507</v>
      </c>
      <c r="J26" s="381" t="n">
        <f aca="false">DeploySum!J53</f>
        <v>46538</v>
      </c>
      <c r="K26" s="381" t="n">
        <f aca="false">DeploySum!K53</f>
        <v>46568</v>
      </c>
      <c r="L26" s="381" t="n">
        <f aca="false">DeploySum!L53</f>
        <v>46599</v>
      </c>
      <c r="M26" s="381" t="n">
        <f aca="false">DeploySum!M53</f>
        <v>46630</v>
      </c>
      <c r="N26" s="381" t="n">
        <f aca="false">DeploySum!N53</f>
        <v>46660</v>
      </c>
      <c r="O26" s="381" t="n">
        <f aca="false">DeploySum!O53</f>
        <v>46691</v>
      </c>
      <c r="P26" s="381" t="n">
        <f aca="false">DeploySum!P53</f>
        <v>46721</v>
      </c>
      <c r="Q26" s="381" t="n">
        <f aca="false">DeploySum!Q53</f>
        <v>46752</v>
      </c>
      <c r="R26" s="382" t="s">
        <v>2664</v>
      </c>
      <c r="S26" s="382" t="s">
        <v>2325</v>
      </c>
      <c r="T26" s="382"/>
      <c r="U26" s="382"/>
      <c r="V26" s="382"/>
      <c r="W26" s="382"/>
      <c r="X26" s="382"/>
      <c r="Y26" s="382"/>
    </row>
    <row r="27" customFormat="false" ht="15" hidden="false" customHeight="false" outlineLevel="0" collapsed="false">
      <c r="A27" s="372" t="s">
        <v>221</v>
      </c>
      <c r="B27" s="384" t="n">
        <f aca="false">SUMIF($T$14:$T$22,$A27,B$14:B$22)</f>
        <v>1</v>
      </c>
      <c r="C27" s="384" t="n">
        <f aca="false">SUMIF($T$14:$T$22,$A27,C$14:C$22)</f>
        <v>1</v>
      </c>
      <c r="D27" s="384" t="n">
        <f aca="false">SUMIF($T$14:$T$22,$A27,D$14:D$22)</f>
        <v>1</v>
      </c>
      <c r="E27" s="384" t="n">
        <f aca="false">SUMIF($T$14:$T$22,$A27,E$14:E$22)</f>
        <v>1</v>
      </c>
      <c r="F27" s="384" t="n">
        <f aca="false">SUMIF($T$14:$T$22,$A27,F$14:F$22)</f>
        <v>1</v>
      </c>
      <c r="G27" s="384" t="n">
        <f aca="false">SUMIF($T$14:$T$22,$A27,G$14:G$22)</f>
        <v>1</v>
      </c>
      <c r="H27" s="384" t="n">
        <f aca="false">SUMIF($T$14:$T$22,$A27,H$14:H$22)</f>
        <v>1</v>
      </c>
      <c r="I27" s="384" t="n">
        <f aca="false">SUMIF($T$14:$T$22,$A27,I$14:I$22)</f>
        <v>1</v>
      </c>
      <c r="J27" s="384" t="n">
        <f aca="false">SUMIF($T$14:$T$22,$A27,J$14:J$22)</f>
        <v>1</v>
      </c>
      <c r="K27" s="384" t="n">
        <f aca="false">SUMIF($T$14:$T$22,$A27,K$14:K$22)</f>
        <v>1</v>
      </c>
      <c r="L27" s="384" t="n">
        <f aca="false">SUMIF($T$14:$T$22,$A27,L$14:L$22)</f>
        <v>1</v>
      </c>
      <c r="M27" s="384" t="n">
        <f aca="false">SUMIF($T$14:$T$22,$A27,M$14:M$22)</f>
        <v>1</v>
      </c>
      <c r="N27" s="384" t="n">
        <f aca="false">SUMIF($T$14:$T$22,$A27,N$14:N$22)</f>
        <v>1</v>
      </c>
      <c r="O27" s="384" t="n">
        <f aca="false">SUMIF($T$14:$T$22,$A27,O$14:O$22)</f>
        <v>1</v>
      </c>
      <c r="P27" s="384" t="n">
        <f aca="false">SUMIF($T$14:$T$22,$A27,P$14:P$22)</f>
        <v>1</v>
      </c>
      <c r="Q27" s="384" t="n">
        <f aca="false">SUMIF($T$14:$T$22,$A27,Q$14:Q$22)</f>
        <v>1</v>
      </c>
      <c r="R27" s="385" t="n">
        <f aca="false">AVERAGE(B27:E27)</f>
        <v>1</v>
      </c>
      <c r="S27" s="385" t="n">
        <f aca="false">AVERAGE(F27:Q27)</f>
        <v>1</v>
      </c>
      <c r="T27" s="385"/>
      <c r="U27" s="385"/>
      <c r="V27" s="385"/>
      <c r="W27" s="385"/>
      <c r="X27" s="385"/>
      <c r="Y27" s="385"/>
    </row>
    <row r="28" customFormat="false" ht="15" hidden="false" customHeight="false" outlineLevel="0" collapsed="false">
      <c r="A28" s="372" t="s">
        <v>225</v>
      </c>
      <c r="B28" s="384" t="n">
        <f aca="false">SUMIF($T$14:$T$22,$A28,B$14:B$22)</f>
        <v>0</v>
      </c>
      <c r="C28" s="384" t="n">
        <f aca="false">SUMIF($T$14:$T$22,$A28,C$14:C$22)</f>
        <v>0</v>
      </c>
      <c r="D28" s="384" t="n">
        <f aca="false">SUMIF($T$14:$T$22,$A28,D$14:D$22)</f>
        <v>0</v>
      </c>
      <c r="E28" s="384" t="n">
        <f aca="false">SUMIF($T$14:$T$22,$A28,E$14:E$22)</f>
        <v>0</v>
      </c>
      <c r="F28" s="384" t="n">
        <f aca="false">SUMIF($T$14:$T$22,$A28,F$14:F$22)</f>
        <v>0</v>
      </c>
      <c r="G28" s="384" t="n">
        <f aca="false">SUMIF($T$14:$T$22,$A28,G$14:G$22)</f>
        <v>1</v>
      </c>
      <c r="H28" s="384" t="n">
        <f aca="false">SUMIF($T$14:$T$22,$A28,H$14:H$22)</f>
        <v>1</v>
      </c>
      <c r="I28" s="384" t="n">
        <f aca="false">SUMIF($T$14:$T$22,$A28,I$14:I$22)</f>
        <v>1</v>
      </c>
      <c r="J28" s="384" t="n">
        <f aca="false">SUMIF($T$14:$T$22,$A28,J$14:J$22)</f>
        <v>1</v>
      </c>
      <c r="K28" s="384" t="n">
        <f aca="false">SUMIF($T$14:$T$22,$A28,K$14:K$22)</f>
        <v>1</v>
      </c>
      <c r="L28" s="384" t="n">
        <f aca="false">SUMIF($T$14:$T$22,$A28,L$14:L$22)</f>
        <v>1</v>
      </c>
      <c r="M28" s="384" t="n">
        <f aca="false">SUMIF($T$14:$T$22,$A28,M$14:M$22)</f>
        <v>1</v>
      </c>
      <c r="N28" s="384" t="n">
        <f aca="false">SUMIF($T$14:$T$22,$A28,N$14:N$22)</f>
        <v>1</v>
      </c>
      <c r="O28" s="384" t="n">
        <f aca="false">SUMIF($T$14:$T$22,$A28,O$14:O$22)</f>
        <v>1</v>
      </c>
      <c r="P28" s="384" t="n">
        <f aca="false">SUMIF($T$14:$T$22,$A28,P$14:P$22)</f>
        <v>1</v>
      </c>
      <c r="Q28" s="384" t="n">
        <f aca="false">SUMIF($T$14:$T$22,$A28,Q$14:Q$22)</f>
        <v>1</v>
      </c>
      <c r="R28" s="385" t="n">
        <f aca="false">AVERAGE(B28:E28)</f>
        <v>0</v>
      </c>
      <c r="S28" s="385" t="n">
        <f aca="false">AVERAGE(F28:Q28)</f>
        <v>0.916666666666667</v>
      </c>
      <c r="T28" s="385"/>
      <c r="U28" s="385"/>
      <c r="V28" s="385"/>
      <c r="W28" s="385"/>
      <c r="X28" s="385"/>
      <c r="Y28" s="385"/>
    </row>
    <row r="29" customFormat="false" ht="15" hidden="false" customHeight="false" outlineLevel="0" collapsed="false">
      <c r="A29" s="372" t="s">
        <v>229</v>
      </c>
      <c r="B29" s="384" t="n">
        <f aca="false">SUMIF($T$14:$T$22,$A29,B$14:B$22)</f>
        <v>1</v>
      </c>
      <c r="C29" s="384" t="n">
        <f aca="false">SUMIF($T$14:$T$22,$A29,C$14:C$22)</f>
        <v>2</v>
      </c>
      <c r="D29" s="384" t="n">
        <f aca="false">SUMIF($T$14:$T$22,$A29,D$14:D$22)</f>
        <v>2</v>
      </c>
      <c r="E29" s="384" t="n">
        <f aca="false">SUMIF($T$14:$T$22,$A29,E$14:E$22)</f>
        <v>3</v>
      </c>
      <c r="F29" s="384" t="n">
        <f aca="false">SUMIF($T$14:$T$22,$A29,F$14:F$22)</f>
        <v>3</v>
      </c>
      <c r="G29" s="384" t="n">
        <f aca="false">SUMIF($T$14:$T$22,$A29,G$14:G$22)</f>
        <v>3</v>
      </c>
      <c r="H29" s="384" t="n">
        <f aca="false">SUMIF($T$14:$T$22,$A29,H$14:H$22)</f>
        <v>3</v>
      </c>
      <c r="I29" s="384" t="n">
        <f aca="false">SUMIF($T$14:$T$22,$A29,I$14:I$22)</f>
        <v>3</v>
      </c>
      <c r="J29" s="384" t="n">
        <f aca="false">SUMIF($T$14:$T$22,$A29,J$14:J$22)</f>
        <v>3</v>
      </c>
      <c r="K29" s="384" t="n">
        <f aca="false">SUMIF($T$14:$T$22,$A29,K$14:K$22)</f>
        <v>3</v>
      </c>
      <c r="L29" s="384" t="n">
        <f aca="false">SUMIF($T$14:$T$22,$A29,L$14:L$22)</f>
        <v>4</v>
      </c>
      <c r="M29" s="384" t="n">
        <f aca="false">SUMIF($T$14:$T$22,$A29,M$14:M$22)</f>
        <v>4</v>
      </c>
      <c r="N29" s="384" t="n">
        <f aca="false">SUMIF($T$14:$T$22,$A29,N$14:N$22)</f>
        <v>4</v>
      </c>
      <c r="O29" s="384" t="n">
        <f aca="false">SUMIF($T$14:$T$22,$A29,O$14:O$22)</f>
        <v>4</v>
      </c>
      <c r="P29" s="384" t="n">
        <f aca="false">SUMIF($T$14:$T$22,$A29,P$14:P$22)</f>
        <v>4</v>
      </c>
      <c r="Q29" s="384" t="n">
        <f aca="false">SUMIF($T$14:$T$22,$A29,Q$14:Q$22)</f>
        <v>4</v>
      </c>
      <c r="R29" s="385" t="n">
        <f aca="false">AVERAGE(B29:E29)</f>
        <v>2</v>
      </c>
      <c r="S29" s="385" t="n">
        <f aca="false">AVERAGE(F29:Q29)</f>
        <v>3.5</v>
      </c>
      <c r="T29" s="385"/>
      <c r="U29" s="385"/>
      <c r="V29" s="385"/>
      <c r="W29" s="385"/>
      <c r="X29" s="385"/>
      <c r="Y29" s="385"/>
    </row>
    <row r="30" customFormat="false" ht="15" hidden="false" customHeight="false" outlineLevel="0" collapsed="false">
      <c r="A30" s="372" t="s">
        <v>233</v>
      </c>
      <c r="B30" s="384" t="n">
        <f aca="false">SUMIF($T$14:$T$22,$A30,B$14:B$22)</f>
        <v>0</v>
      </c>
      <c r="C30" s="384" t="n">
        <f aca="false">SUMIF($T$14:$T$22,$A30,C$14:C$22)</f>
        <v>0</v>
      </c>
      <c r="D30" s="384" t="n">
        <f aca="false">SUMIF($T$14:$T$22,$A30,D$14:D$22)</f>
        <v>0</v>
      </c>
      <c r="E30" s="384" t="n">
        <f aca="false">SUMIF($T$14:$T$22,$A30,E$14:E$22)</f>
        <v>0</v>
      </c>
      <c r="F30" s="384" t="n">
        <f aca="false">SUMIF($T$14:$T$22,$A30,F$14:F$22)</f>
        <v>0</v>
      </c>
      <c r="G30" s="384" t="n">
        <f aca="false">SUMIF($T$14:$T$22,$A30,G$14:G$22)</f>
        <v>0</v>
      </c>
      <c r="H30" s="384" t="n">
        <f aca="false">SUMIF($T$14:$T$22,$A30,H$14:H$22)</f>
        <v>1</v>
      </c>
      <c r="I30" s="384" t="n">
        <f aca="false">SUMIF($T$14:$T$22,$A30,I$14:I$22)</f>
        <v>1</v>
      </c>
      <c r="J30" s="384" t="n">
        <f aca="false">SUMIF($T$14:$T$22,$A30,J$14:J$22)</f>
        <v>1</v>
      </c>
      <c r="K30" s="384" t="n">
        <f aca="false">SUMIF($T$14:$T$22,$A30,K$14:K$22)</f>
        <v>2</v>
      </c>
      <c r="L30" s="384" t="n">
        <f aca="false">SUMIF($T$14:$T$22,$A30,L$14:L$22)</f>
        <v>3</v>
      </c>
      <c r="M30" s="384" t="n">
        <f aca="false">SUMIF($T$14:$T$22,$A30,M$14:M$22)</f>
        <v>3</v>
      </c>
      <c r="N30" s="384" t="n">
        <f aca="false">SUMIF($T$14:$T$22,$A30,N$14:N$22)</f>
        <v>3</v>
      </c>
      <c r="O30" s="384" t="n">
        <f aca="false">SUMIF($T$14:$T$22,$A30,O$14:O$22)</f>
        <v>3</v>
      </c>
      <c r="P30" s="384" t="n">
        <f aca="false">SUMIF($T$14:$T$22,$A30,P$14:P$22)</f>
        <v>3</v>
      </c>
      <c r="Q30" s="384" t="n">
        <f aca="false">SUMIF($T$14:$T$22,$A30,Q$14:Q$22)</f>
        <v>3</v>
      </c>
      <c r="R30" s="385" t="n">
        <f aca="false">AVERAGE(B30:E30)</f>
        <v>0</v>
      </c>
      <c r="S30" s="385" t="n">
        <f aca="false">AVERAGE(F30:Q30)</f>
        <v>1.91666666666667</v>
      </c>
      <c r="T30" s="385"/>
      <c r="U30" s="385"/>
      <c r="V30" s="385"/>
      <c r="W30" s="385"/>
      <c r="X30" s="385"/>
      <c r="Y30" s="385"/>
    </row>
    <row r="31" customFormat="false" ht="15" hidden="false" customHeight="false" outlineLevel="0" collapsed="false">
      <c r="A31" s="394" t="s">
        <v>3189</v>
      </c>
      <c r="B31" s="395" t="n">
        <f aca="false">SUM(B27:B30)</f>
        <v>2</v>
      </c>
      <c r="C31" s="395" t="n">
        <f aca="false">SUM(C27:C30)</f>
        <v>3</v>
      </c>
      <c r="D31" s="395" t="n">
        <f aca="false">SUM(D27:D30)</f>
        <v>3</v>
      </c>
      <c r="E31" s="395" t="n">
        <f aca="false">SUM(E27:E30)</f>
        <v>4</v>
      </c>
      <c r="F31" s="395" t="n">
        <f aca="false">SUM(F27:F30)</f>
        <v>4</v>
      </c>
      <c r="G31" s="395" t="n">
        <f aca="false">SUM(G27:G30)</f>
        <v>5</v>
      </c>
      <c r="H31" s="395" t="n">
        <f aca="false">SUM(H27:H30)</f>
        <v>6</v>
      </c>
      <c r="I31" s="395" t="n">
        <f aca="false">SUM(I27:I30)</f>
        <v>6</v>
      </c>
      <c r="J31" s="395" t="n">
        <f aca="false">SUM(J27:J30)</f>
        <v>6</v>
      </c>
      <c r="K31" s="395" t="n">
        <f aca="false">SUM(K27:K30)</f>
        <v>7</v>
      </c>
      <c r="L31" s="395" t="n">
        <f aca="false">SUM(L27:L30)</f>
        <v>9</v>
      </c>
      <c r="M31" s="395" t="n">
        <f aca="false">SUM(M27:M30)</f>
        <v>9</v>
      </c>
      <c r="N31" s="395" t="n">
        <f aca="false">SUM(N27:N30)</f>
        <v>9</v>
      </c>
      <c r="O31" s="395" t="n">
        <f aca="false">SUM(O27:O30)</f>
        <v>9</v>
      </c>
      <c r="P31" s="395" t="n">
        <f aca="false">SUM(P27:P30)</f>
        <v>9</v>
      </c>
      <c r="Q31" s="395" t="n">
        <f aca="false">SUM(Q27:Q30)</f>
        <v>9</v>
      </c>
      <c r="R31" s="396" t="n">
        <f aca="false">AVERAGE(B31:E31)</f>
        <v>3</v>
      </c>
      <c r="S31" s="396" t="n">
        <f aca="false">AVERAGE(F31:Q31)</f>
        <v>7.33333333333333</v>
      </c>
      <c r="T31" s="385"/>
      <c r="U31" s="385"/>
      <c r="V31" s="385"/>
      <c r="W31" s="385"/>
      <c r="X31" s="385"/>
      <c r="Y31" s="385"/>
    </row>
    <row r="32" customFormat="false" ht="15" hidden="false" customHeight="false" outlineLevel="0" collapsed="false">
      <c r="A32" s="372"/>
      <c r="B32" s="372"/>
      <c r="C32" s="372"/>
      <c r="D32" s="372"/>
      <c r="E32" s="372"/>
      <c r="F32" s="372"/>
      <c r="G32" s="372"/>
      <c r="H32" s="372"/>
      <c r="I32" s="372"/>
      <c r="J32" s="372"/>
      <c r="K32" s="372"/>
      <c r="L32" s="372"/>
      <c r="M32" s="372"/>
      <c r="N32" s="372"/>
      <c r="O32" s="372"/>
      <c r="P32" s="372"/>
      <c r="Q32" s="372"/>
      <c r="R32" s="372"/>
      <c r="S32" s="372"/>
      <c r="T32" s="372"/>
      <c r="U32" s="372"/>
      <c r="V32" s="372"/>
      <c r="W32" s="372"/>
      <c r="X32" s="372"/>
      <c r="Y32" s="372"/>
    </row>
    <row r="33" customFormat="false" ht="15" hidden="false" customHeight="false" outlineLevel="0" collapsed="false">
      <c r="A33" s="374" t="s">
        <v>3192</v>
      </c>
      <c r="B33" s="381" t="n">
        <f aca="false">DeploySum!B53</f>
        <v>46295</v>
      </c>
      <c r="C33" s="381" t="n">
        <f aca="false">DeploySum!C53</f>
        <v>46326</v>
      </c>
      <c r="D33" s="381" t="n">
        <f aca="false">DeploySum!D53</f>
        <v>46356</v>
      </c>
      <c r="E33" s="381" t="n">
        <f aca="false">DeploySum!E53</f>
        <v>46387</v>
      </c>
      <c r="F33" s="381" t="n">
        <f aca="false">DeploySum!F53</f>
        <v>46418</v>
      </c>
      <c r="G33" s="381" t="n">
        <f aca="false">DeploySum!G53</f>
        <v>46446</v>
      </c>
      <c r="H33" s="381" t="n">
        <f aca="false">DeploySum!H53</f>
        <v>46477</v>
      </c>
      <c r="I33" s="381" t="n">
        <f aca="false">DeploySum!I53</f>
        <v>46507</v>
      </c>
      <c r="J33" s="381" t="n">
        <f aca="false">DeploySum!J53</f>
        <v>46538</v>
      </c>
      <c r="K33" s="381" t="n">
        <f aca="false">DeploySum!K53</f>
        <v>46568</v>
      </c>
      <c r="L33" s="381" t="n">
        <f aca="false">DeploySum!L53</f>
        <v>46599</v>
      </c>
      <c r="M33" s="381" t="n">
        <f aca="false">DeploySum!M53</f>
        <v>46630</v>
      </c>
      <c r="N33" s="381" t="n">
        <f aca="false">DeploySum!N53</f>
        <v>46660</v>
      </c>
      <c r="O33" s="381" t="n">
        <f aca="false">DeploySum!O53</f>
        <v>46691</v>
      </c>
      <c r="P33" s="381" t="n">
        <f aca="false">DeploySum!P53</f>
        <v>46721</v>
      </c>
      <c r="Q33" s="381" t="n">
        <f aca="false">DeploySum!Q53</f>
        <v>46752</v>
      </c>
      <c r="R33" s="382" t="s">
        <v>2664</v>
      </c>
      <c r="S33" s="382" t="s">
        <v>2325</v>
      </c>
      <c r="T33" s="382"/>
      <c r="U33" s="382"/>
      <c r="V33" s="382"/>
      <c r="W33" s="382"/>
      <c r="X33" s="382"/>
      <c r="Y33" s="382"/>
    </row>
    <row r="34" customFormat="false" ht="15" hidden="false" customHeight="false" outlineLevel="0" collapsed="false">
      <c r="A34" s="372" t="str">
        <f aca="false">$A14</f>
        <v>LOG-01 Logistics Manager (William Welser)</v>
      </c>
      <c r="B34" s="398" t="n">
        <f aca="false">B14*$X14/12*(1+IF(AND(B$33&gt;=$B$8,$Y14=1),$B$7,0))</f>
        <v>10000</v>
      </c>
      <c r="C34" s="398" t="n">
        <f aca="false">C14*$X14/12*(1+IF(AND(C$33&gt;=$B$8,$Y14=1),$B$7,0))</f>
        <v>10000</v>
      </c>
      <c r="D34" s="398" t="n">
        <f aca="false">D14*$X14/12*(1+IF(AND(D$33&gt;=$B$8,$Y14=1),$B$7,0))</f>
        <v>10000</v>
      </c>
      <c r="E34" s="398" t="n">
        <f aca="false">E14*$X14/12*(1+IF(AND(E$33&gt;=$B$8,$Y14=1),$B$7,0))</f>
        <v>10000</v>
      </c>
      <c r="F34" s="398" t="n">
        <f aca="false">F14*$X14/12*(1+IF(AND(F$33&gt;=$B$8,$Y14=1),$B$7,0))</f>
        <v>10000</v>
      </c>
      <c r="G34" s="398" t="n">
        <f aca="false">G14*$X14/12*(1+IF(AND(G$33&gt;=$B$8,$Y14=1),$B$7,0))</f>
        <v>10000</v>
      </c>
      <c r="H34" s="398" t="n">
        <f aca="false">H14*$X14/12*(1+IF(AND(H$33&gt;=$B$8,$Y14=1),$B$7,0))</f>
        <v>10000</v>
      </c>
      <c r="I34" s="398" t="n">
        <f aca="false">I14*$X14/12*(1+IF(AND(I$33&gt;=$B$8,$Y14=1),$B$7,0))</f>
        <v>10000</v>
      </c>
      <c r="J34" s="398" t="n">
        <f aca="false">J14*$X14/12*(1+IF(AND(J$33&gt;=$B$8,$Y14=1),$B$7,0))</f>
        <v>10000</v>
      </c>
      <c r="K34" s="398" t="n">
        <f aca="false">K14*$X14/12*(1+IF(AND(K$33&gt;=$B$8,$Y14=1),$B$7,0))</f>
        <v>10000</v>
      </c>
      <c r="L34" s="398" t="n">
        <f aca="false">L14*$X14/12*(1+IF(AND(L$33&gt;=$B$8,$Y14=1),$B$7,0))</f>
        <v>10000</v>
      </c>
      <c r="M34" s="398" t="n">
        <f aca="false">M14*$X14/12*(1+IF(AND(M$33&gt;=$B$8,$Y14=1),$B$7,0))</f>
        <v>10000</v>
      </c>
      <c r="N34" s="398" t="n">
        <f aca="false">N14*$X14/12*(1+IF(AND(N$33&gt;=$B$8,$Y14=1),$B$7,0))</f>
        <v>10000</v>
      </c>
      <c r="O34" s="398" t="n">
        <f aca="false">O14*$X14/12*(1+IF(AND(O$33&gt;=$B$8,$Y14=1),$B$7,0))</f>
        <v>10300</v>
      </c>
      <c r="P34" s="398" t="n">
        <f aca="false">P14*$X14/12*(1+IF(AND(P$33&gt;=$B$8,$Y14=1),$B$7,0))</f>
        <v>10300</v>
      </c>
      <c r="Q34" s="398" t="n">
        <f aca="false">Q14*$X14/12*(1+IF(AND(Q$33&gt;=$B$8,$Y14=1),$B$7,0))</f>
        <v>10300</v>
      </c>
      <c r="R34" s="399" t="n">
        <f aca="false">SUM(B34:E34)</f>
        <v>40000</v>
      </c>
      <c r="S34" s="399" t="n">
        <f aca="false">SUM(F34:Q34)</f>
        <v>120900</v>
      </c>
      <c r="T34" s="399"/>
      <c r="U34" s="399"/>
      <c r="V34" s="399"/>
      <c r="W34" s="399"/>
      <c r="X34" s="399"/>
      <c r="Y34" s="399"/>
    </row>
    <row r="35" customFormat="false" ht="15" hidden="false" customHeight="false" outlineLevel="0" collapsed="false">
      <c r="A35" s="372" t="str">
        <f aca="false">$A15</f>
        <v>INV-01 Inventory Control Specialist</v>
      </c>
      <c r="B35" s="398" t="n">
        <f aca="false">B15*$X15/12*(1+IF(AND(B$33&gt;=$B$8,$Y15=1),$B$7,0))</f>
        <v>0</v>
      </c>
      <c r="C35" s="398" t="n">
        <f aca="false">C15*$X15/12*(1+IF(AND(C$33&gt;=$B$8,$Y15=1),$B$7,0))</f>
        <v>0</v>
      </c>
      <c r="D35" s="398" t="n">
        <f aca="false">D15*$X15/12*(1+IF(AND(D$33&gt;=$B$8,$Y15=1),$B$7,0))</f>
        <v>0</v>
      </c>
      <c r="E35" s="398" t="n">
        <f aca="false">E15*$X15/12*(1+IF(AND(E$33&gt;=$B$8,$Y15=1),$B$7,0))</f>
        <v>0</v>
      </c>
      <c r="F35" s="398" t="n">
        <f aca="false">F15*$X15/12*(1+IF(AND(F$33&gt;=$B$8,$Y15=1),$B$7,0))</f>
        <v>0</v>
      </c>
      <c r="G35" s="398" t="n">
        <f aca="false">G15*$X15/12*(1+IF(AND(G$33&gt;=$B$8,$Y15=1),$B$7,0))</f>
        <v>4000</v>
      </c>
      <c r="H35" s="398" t="n">
        <f aca="false">H15*$X15/12*(1+IF(AND(H$33&gt;=$B$8,$Y15=1),$B$7,0))</f>
        <v>4000</v>
      </c>
      <c r="I35" s="398" t="n">
        <f aca="false">I15*$X15/12*(1+IF(AND(I$33&gt;=$B$8,$Y15=1),$B$7,0))</f>
        <v>4000</v>
      </c>
      <c r="J35" s="398" t="n">
        <f aca="false">J15*$X15/12*(1+IF(AND(J$33&gt;=$B$8,$Y15=1),$B$7,0))</f>
        <v>4000</v>
      </c>
      <c r="K35" s="398" t="n">
        <f aca="false">K15*$X15/12*(1+IF(AND(K$33&gt;=$B$8,$Y15=1),$B$7,0))</f>
        <v>4000</v>
      </c>
      <c r="L35" s="398" t="n">
        <f aca="false">L15*$X15/12*(1+IF(AND(L$33&gt;=$B$8,$Y15=1),$B$7,0))</f>
        <v>4000</v>
      </c>
      <c r="M35" s="398" t="n">
        <f aca="false">M15*$X15/12*(1+IF(AND(M$33&gt;=$B$8,$Y15=1),$B$7,0))</f>
        <v>4000</v>
      </c>
      <c r="N35" s="398" t="n">
        <f aca="false">N15*$X15/12*(1+IF(AND(N$33&gt;=$B$8,$Y15=1),$B$7,0))</f>
        <v>4000</v>
      </c>
      <c r="O35" s="398" t="n">
        <f aca="false">O15*$X15/12*(1+IF(AND(O$33&gt;=$B$8,$Y15=1),$B$7,0))</f>
        <v>4120</v>
      </c>
      <c r="P35" s="398" t="n">
        <f aca="false">P15*$X15/12*(1+IF(AND(P$33&gt;=$B$8,$Y15=1),$B$7,0))</f>
        <v>4120</v>
      </c>
      <c r="Q35" s="398" t="n">
        <f aca="false">Q15*$X15/12*(1+IF(AND(Q$33&gt;=$B$8,$Y15=1),$B$7,0))</f>
        <v>4120</v>
      </c>
      <c r="R35" s="399" t="n">
        <f aca="false">SUM(B35:E35)</f>
        <v>0</v>
      </c>
      <c r="S35" s="399" t="n">
        <f aca="false">SUM(F35:Q35)</f>
        <v>44360</v>
      </c>
      <c r="T35" s="399"/>
      <c r="U35" s="399"/>
      <c r="V35" s="399"/>
      <c r="W35" s="399"/>
      <c r="X35" s="399"/>
      <c r="Y35" s="399"/>
    </row>
    <row r="36" customFormat="false" ht="15" hidden="false" customHeight="false" outlineLevel="0" collapsed="false">
      <c r="A36" s="372" t="str">
        <f aca="false">$A16</f>
        <v>TL-01 Material Handling Team Lead</v>
      </c>
      <c r="B36" s="398" t="n">
        <f aca="false">B16*$X16/12*(1+IF(AND(B$33&gt;=$B$8,$Y16=1),$B$7,0))</f>
        <v>0</v>
      </c>
      <c r="C36" s="398" t="n">
        <f aca="false">C16*$X16/12*(1+IF(AND(C$33&gt;=$B$8,$Y16=1),$B$7,0))</f>
        <v>0</v>
      </c>
      <c r="D36" s="398" t="n">
        <f aca="false">D16*$X16/12*(1+IF(AND(D$33&gt;=$B$8,$Y16=1),$B$7,0))</f>
        <v>0</v>
      </c>
      <c r="E36" s="398" t="n">
        <f aca="false">E16*$X16/12*(1+IF(AND(E$33&gt;=$B$8,$Y16=1),$B$7,0))</f>
        <v>4333.33333333333</v>
      </c>
      <c r="F36" s="398" t="n">
        <f aca="false">F16*$X16/12*(1+IF(AND(F$33&gt;=$B$8,$Y16=1),$B$7,0))</f>
        <v>4333.33333333333</v>
      </c>
      <c r="G36" s="398" t="n">
        <f aca="false">G16*$X16/12*(1+IF(AND(G$33&gt;=$B$8,$Y16=1),$B$7,0))</f>
        <v>4333.33333333333</v>
      </c>
      <c r="H36" s="398" t="n">
        <f aca="false">H16*$X16/12*(1+IF(AND(H$33&gt;=$B$8,$Y16=1),$B$7,0))</f>
        <v>4333.33333333333</v>
      </c>
      <c r="I36" s="398" t="n">
        <f aca="false">I16*$X16/12*(1+IF(AND(I$33&gt;=$B$8,$Y16=1),$B$7,0))</f>
        <v>4333.33333333333</v>
      </c>
      <c r="J36" s="398" t="n">
        <f aca="false">J16*$X16/12*(1+IF(AND(J$33&gt;=$B$8,$Y16=1),$B$7,0))</f>
        <v>4333.33333333333</v>
      </c>
      <c r="K36" s="398" t="n">
        <f aca="false">K16*$X16/12*(1+IF(AND(K$33&gt;=$B$8,$Y16=1),$B$7,0))</f>
        <v>4333.33333333333</v>
      </c>
      <c r="L36" s="398" t="n">
        <f aca="false">L16*$X16/12*(1+IF(AND(L$33&gt;=$B$8,$Y16=1),$B$7,0))</f>
        <v>4333.33333333333</v>
      </c>
      <c r="M36" s="398" t="n">
        <f aca="false">M16*$X16/12*(1+IF(AND(M$33&gt;=$B$8,$Y16=1),$B$7,0))</f>
        <v>4333.33333333333</v>
      </c>
      <c r="N36" s="398" t="n">
        <f aca="false">N16*$X16/12*(1+IF(AND(N$33&gt;=$B$8,$Y16=1),$B$7,0))</f>
        <v>4333.33333333333</v>
      </c>
      <c r="O36" s="398" t="n">
        <f aca="false">O16*$X16/12*(1+IF(AND(O$33&gt;=$B$8,$Y16=1),$B$7,0))</f>
        <v>4463.33333333333</v>
      </c>
      <c r="P36" s="398" t="n">
        <f aca="false">P16*$X16/12*(1+IF(AND(P$33&gt;=$B$8,$Y16=1),$B$7,0))</f>
        <v>4463.33333333333</v>
      </c>
      <c r="Q36" s="398" t="n">
        <f aca="false">Q16*$X16/12*(1+IF(AND(Q$33&gt;=$B$8,$Y16=1),$B$7,0))</f>
        <v>4463.33333333333</v>
      </c>
      <c r="R36" s="399" t="n">
        <f aca="false">SUM(B36:E36)</f>
        <v>4333.33333333333</v>
      </c>
      <c r="S36" s="399" t="n">
        <f aca="false">SUM(F36:Q36)</f>
        <v>52390</v>
      </c>
      <c r="T36" s="399"/>
      <c r="U36" s="399"/>
      <c r="V36" s="399"/>
      <c r="W36" s="399"/>
      <c r="X36" s="399"/>
      <c r="Y36" s="399"/>
    </row>
    <row r="37" customFormat="false" ht="15" hidden="false" customHeight="false" outlineLevel="0" collapsed="false">
      <c r="A37" s="372" t="str">
        <f aca="false">$A17</f>
        <v>TL-02 Material Handling Team Lead</v>
      </c>
      <c r="B37" s="398" t="n">
        <f aca="false">B17*$X17/12*(1+IF(AND(B$33&gt;=$B$8,$Y17=1),$B$7,0))</f>
        <v>0</v>
      </c>
      <c r="C37" s="398" t="n">
        <f aca="false">C17*$X17/12*(1+IF(AND(C$33&gt;=$B$8,$Y17=1),$B$7,0))</f>
        <v>0</v>
      </c>
      <c r="D37" s="398" t="n">
        <f aca="false">D17*$X17/12*(1+IF(AND(D$33&gt;=$B$8,$Y17=1),$B$7,0))</f>
        <v>0</v>
      </c>
      <c r="E37" s="398" t="n">
        <f aca="false">E17*$X17/12*(1+IF(AND(E$33&gt;=$B$8,$Y17=1),$B$7,0))</f>
        <v>0</v>
      </c>
      <c r="F37" s="398" t="n">
        <f aca="false">F17*$X17/12*(1+IF(AND(F$33&gt;=$B$8,$Y17=1),$B$7,0))</f>
        <v>0</v>
      </c>
      <c r="G37" s="398" t="n">
        <f aca="false">G17*$X17/12*(1+IF(AND(G$33&gt;=$B$8,$Y17=1),$B$7,0))</f>
        <v>0</v>
      </c>
      <c r="H37" s="398" t="n">
        <f aca="false">H17*$X17/12*(1+IF(AND(H$33&gt;=$B$8,$Y17=1),$B$7,0))</f>
        <v>0</v>
      </c>
      <c r="I37" s="398" t="n">
        <f aca="false">I17*$X17/12*(1+IF(AND(I$33&gt;=$B$8,$Y17=1),$B$7,0))</f>
        <v>0</v>
      </c>
      <c r="J37" s="398" t="n">
        <f aca="false">J17*$X17/12*(1+IF(AND(J$33&gt;=$B$8,$Y17=1),$B$7,0))</f>
        <v>0</v>
      </c>
      <c r="K37" s="398" t="n">
        <f aca="false">K17*$X17/12*(1+IF(AND(K$33&gt;=$B$8,$Y17=1),$B$7,0))</f>
        <v>0</v>
      </c>
      <c r="L37" s="398" t="n">
        <f aca="false">L17*$X17/12*(1+IF(AND(L$33&gt;=$B$8,$Y17=1),$B$7,0))</f>
        <v>4333.33333333333</v>
      </c>
      <c r="M37" s="398" t="n">
        <f aca="false">M17*$X17/12*(1+IF(AND(M$33&gt;=$B$8,$Y17=1),$B$7,0))</f>
        <v>4333.33333333333</v>
      </c>
      <c r="N37" s="398" t="n">
        <f aca="false">N17*$X17/12*(1+IF(AND(N$33&gt;=$B$8,$Y17=1),$B$7,0))</f>
        <v>4333.33333333333</v>
      </c>
      <c r="O37" s="398" t="n">
        <f aca="false">O17*$X17/12*(1+IF(AND(O$33&gt;=$B$8,$Y17=1),$B$7,0))</f>
        <v>4333.33333333333</v>
      </c>
      <c r="P37" s="398" t="n">
        <f aca="false">P17*$X17/12*(1+IF(AND(P$33&gt;=$B$8,$Y17=1),$B$7,0))</f>
        <v>4333.33333333333</v>
      </c>
      <c r="Q37" s="398" t="n">
        <f aca="false">Q17*$X17/12*(1+IF(AND(Q$33&gt;=$B$8,$Y17=1),$B$7,0))</f>
        <v>4333.33333333333</v>
      </c>
      <c r="R37" s="399" t="n">
        <f aca="false">SUM(B37:E37)</f>
        <v>0</v>
      </c>
      <c r="S37" s="399" t="n">
        <f aca="false">SUM(F37:Q37)</f>
        <v>26000</v>
      </c>
      <c r="T37" s="399"/>
      <c r="U37" s="399"/>
      <c r="V37" s="399"/>
      <c r="W37" s="399"/>
      <c r="X37" s="399"/>
      <c r="Y37" s="399"/>
    </row>
    <row r="38" customFormat="false" ht="15" hidden="false" customHeight="false" outlineLevel="0" collapsed="false">
      <c r="A38" s="372" t="str">
        <f aca="false">$A18</f>
        <v>MH-01 Material Handler (Austin Steed)</v>
      </c>
      <c r="B38" s="398" t="n">
        <f aca="false">B18*$X18/12*(1+IF(AND(B$33&gt;=$B$8,$Y18=1),$B$7,0))</f>
        <v>4160</v>
      </c>
      <c r="C38" s="398" t="n">
        <f aca="false">C18*$X18/12*(1+IF(AND(C$33&gt;=$B$8,$Y18=1),$B$7,0))</f>
        <v>4160</v>
      </c>
      <c r="D38" s="398" t="n">
        <f aca="false">D18*$X18/12*(1+IF(AND(D$33&gt;=$B$8,$Y18=1),$B$7,0))</f>
        <v>4160</v>
      </c>
      <c r="E38" s="398" t="n">
        <f aca="false">E18*$X18/12*(1+IF(AND(E$33&gt;=$B$8,$Y18=1),$B$7,0))</f>
        <v>4160</v>
      </c>
      <c r="F38" s="398" t="n">
        <f aca="false">F18*$X18/12*(1+IF(AND(F$33&gt;=$B$8,$Y18=1),$B$7,0))</f>
        <v>4160</v>
      </c>
      <c r="G38" s="398" t="n">
        <f aca="false">G18*$X18/12*(1+IF(AND(G$33&gt;=$B$8,$Y18=1),$B$7,0))</f>
        <v>4160</v>
      </c>
      <c r="H38" s="398" t="n">
        <f aca="false">H18*$X18/12*(1+IF(AND(H$33&gt;=$B$8,$Y18=1),$B$7,0))</f>
        <v>4160</v>
      </c>
      <c r="I38" s="398" t="n">
        <f aca="false">I18*$X18/12*(1+IF(AND(I$33&gt;=$B$8,$Y18=1),$B$7,0))</f>
        <v>4160</v>
      </c>
      <c r="J38" s="398" t="n">
        <f aca="false">J18*$X18/12*(1+IF(AND(J$33&gt;=$B$8,$Y18=1),$B$7,0))</f>
        <v>4160</v>
      </c>
      <c r="K38" s="398" t="n">
        <f aca="false">K18*$X18/12*(1+IF(AND(K$33&gt;=$B$8,$Y18=1),$B$7,0))</f>
        <v>4160</v>
      </c>
      <c r="L38" s="398" t="n">
        <f aca="false">L18*$X18/12*(1+IF(AND(L$33&gt;=$B$8,$Y18=1),$B$7,0))</f>
        <v>4160</v>
      </c>
      <c r="M38" s="398" t="n">
        <f aca="false">M18*$X18/12*(1+IF(AND(M$33&gt;=$B$8,$Y18=1),$B$7,0))</f>
        <v>4160</v>
      </c>
      <c r="N38" s="398" t="n">
        <f aca="false">N18*$X18/12*(1+IF(AND(N$33&gt;=$B$8,$Y18=1),$B$7,0))</f>
        <v>4160</v>
      </c>
      <c r="O38" s="398" t="n">
        <f aca="false">O18*$X18/12*(1+IF(AND(O$33&gt;=$B$8,$Y18=1),$B$7,0))</f>
        <v>4284.8</v>
      </c>
      <c r="P38" s="398" t="n">
        <f aca="false">P18*$X18/12*(1+IF(AND(P$33&gt;=$B$8,$Y18=1),$B$7,0))</f>
        <v>4284.8</v>
      </c>
      <c r="Q38" s="398" t="n">
        <f aca="false">Q18*$X18/12*(1+IF(AND(Q$33&gt;=$B$8,$Y18=1),$B$7,0))</f>
        <v>4284.8</v>
      </c>
      <c r="R38" s="399" t="n">
        <f aca="false">SUM(B38:E38)</f>
        <v>16640</v>
      </c>
      <c r="S38" s="399" t="n">
        <f aca="false">SUM(F38:Q38)</f>
        <v>50294.4</v>
      </c>
      <c r="T38" s="399"/>
      <c r="U38" s="399"/>
      <c r="V38" s="399"/>
      <c r="W38" s="399"/>
      <c r="X38" s="399"/>
      <c r="Y38" s="399"/>
    </row>
    <row r="39" customFormat="false" ht="15" hidden="false" customHeight="false" outlineLevel="0" collapsed="false">
      <c r="A39" s="372" t="str">
        <f aca="false">$A19</f>
        <v>MH-02 Material Handler (backfill for Servando Flores)</v>
      </c>
      <c r="B39" s="398" t="n">
        <f aca="false">B19*$X19/12*(1+IF(AND(B$33&gt;=$B$8,$Y19=1),$B$7,0))</f>
        <v>0</v>
      </c>
      <c r="C39" s="398" t="n">
        <f aca="false">C19*$X19/12*(1+IF(AND(C$33&gt;=$B$8,$Y19=1),$B$7,0))</f>
        <v>4160</v>
      </c>
      <c r="D39" s="398" t="n">
        <f aca="false">D19*$X19/12*(1+IF(AND(D$33&gt;=$B$8,$Y19=1),$B$7,0))</f>
        <v>4160</v>
      </c>
      <c r="E39" s="398" t="n">
        <f aca="false">E19*$X19/12*(1+IF(AND(E$33&gt;=$B$8,$Y19=1),$B$7,0))</f>
        <v>4160</v>
      </c>
      <c r="F39" s="398" t="n">
        <f aca="false">F19*$X19/12*(1+IF(AND(F$33&gt;=$B$8,$Y19=1),$B$7,0))</f>
        <v>4160</v>
      </c>
      <c r="G39" s="398" t="n">
        <f aca="false">G19*$X19/12*(1+IF(AND(G$33&gt;=$B$8,$Y19=1),$B$7,0))</f>
        <v>4160</v>
      </c>
      <c r="H39" s="398" t="n">
        <f aca="false">H19*$X19/12*(1+IF(AND(H$33&gt;=$B$8,$Y19=1),$B$7,0))</f>
        <v>4160</v>
      </c>
      <c r="I39" s="398" t="n">
        <f aca="false">I19*$X19/12*(1+IF(AND(I$33&gt;=$B$8,$Y19=1),$B$7,0))</f>
        <v>4160</v>
      </c>
      <c r="J39" s="398" t="n">
        <f aca="false">J19*$X19/12*(1+IF(AND(J$33&gt;=$B$8,$Y19=1),$B$7,0))</f>
        <v>4160</v>
      </c>
      <c r="K39" s="398" t="n">
        <f aca="false">K19*$X19/12*(1+IF(AND(K$33&gt;=$B$8,$Y19=1),$B$7,0))</f>
        <v>4160</v>
      </c>
      <c r="L39" s="398" t="n">
        <f aca="false">L19*$X19/12*(1+IF(AND(L$33&gt;=$B$8,$Y19=1),$B$7,0))</f>
        <v>4160</v>
      </c>
      <c r="M39" s="398" t="n">
        <f aca="false">M19*$X19/12*(1+IF(AND(M$33&gt;=$B$8,$Y19=1),$B$7,0))</f>
        <v>4160</v>
      </c>
      <c r="N39" s="398" t="n">
        <f aca="false">N19*$X19/12*(1+IF(AND(N$33&gt;=$B$8,$Y19=1),$B$7,0))</f>
        <v>4160</v>
      </c>
      <c r="O39" s="398" t="n">
        <f aca="false">O19*$X19/12*(1+IF(AND(O$33&gt;=$B$8,$Y19=1),$B$7,0))</f>
        <v>4284.8</v>
      </c>
      <c r="P39" s="398" t="n">
        <f aca="false">P19*$X19/12*(1+IF(AND(P$33&gt;=$B$8,$Y19=1),$B$7,0))</f>
        <v>4284.8</v>
      </c>
      <c r="Q39" s="398" t="n">
        <f aca="false">Q19*$X19/12*(1+IF(AND(Q$33&gt;=$B$8,$Y19=1),$B$7,0))</f>
        <v>4284.8</v>
      </c>
      <c r="R39" s="399" t="n">
        <f aca="false">SUM(B39:E39)</f>
        <v>12480</v>
      </c>
      <c r="S39" s="399" t="n">
        <f aca="false">SUM(F39:Q39)</f>
        <v>50294.4</v>
      </c>
      <c r="T39" s="399"/>
      <c r="U39" s="399"/>
      <c r="V39" s="399"/>
      <c r="W39" s="399"/>
      <c r="X39" s="399"/>
      <c r="Y39" s="399"/>
    </row>
    <row r="40" customFormat="false" ht="15" hidden="false" customHeight="false" outlineLevel="0" collapsed="false">
      <c r="A40" s="372" t="str">
        <f aca="false">$A20</f>
        <v>MH-06 Material Handler</v>
      </c>
      <c r="B40" s="398" t="n">
        <f aca="false">B20*$X20/12*(1+IF(AND(B$33&gt;=$B$8,$Y20=1),$B$7,0))</f>
        <v>0</v>
      </c>
      <c r="C40" s="398" t="n">
        <f aca="false">C20*$X20/12*(1+IF(AND(C$33&gt;=$B$8,$Y20=1),$B$7,0))</f>
        <v>0</v>
      </c>
      <c r="D40" s="398" t="n">
        <f aca="false">D20*$X20/12*(1+IF(AND(D$33&gt;=$B$8,$Y20=1),$B$7,0))</f>
        <v>0</v>
      </c>
      <c r="E40" s="398" t="n">
        <f aca="false">E20*$X20/12*(1+IF(AND(E$33&gt;=$B$8,$Y20=1),$B$7,0))</f>
        <v>0</v>
      </c>
      <c r="F40" s="398" t="n">
        <f aca="false">F20*$X20/12*(1+IF(AND(F$33&gt;=$B$8,$Y20=1),$B$7,0))</f>
        <v>0</v>
      </c>
      <c r="G40" s="398" t="n">
        <f aca="false">G20*$X20/12*(1+IF(AND(G$33&gt;=$B$8,$Y20=1),$B$7,0))</f>
        <v>0</v>
      </c>
      <c r="H40" s="398" t="n">
        <f aca="false">H20*$X20/12*(1+IF(AND(H$33&gt;=$B$8,$Y20=1),$B$7,0))</f>
        <v>0</v>
      </c>
      <c r="I40" s="398" t="n">
        <f aca="false">I20*$X20/12*(1+IF(AND(I$33&gt;=$B$8,$Y20=1),$B$7,0))</f>
        <v>0</v>
      </c>
      <c r="J40" s="398" t="n">
        <f aca="false">J20*$X20/12*(1+IF(AND(J$33&gt;=$B$8,$Y20=1),$B$7,0))</f>
        <v>0</v>
      </c>
      <c r="K40" s="398" t="n">
        <f aca="false">K20*$X20/12*(1+IF(AND(K$33&gt;=$B$8,$Y20=1),$B$7,0))</f>
        <v>0</v>
      </c>
      <c r="L40" s="398" t="n">
        <f aca="false">L20*$X20/12*(1+IF(AND(L$33&gt;=$B$8,$Y20=1),$B$7,0))</f>
        <v>4160</v>
      </c>
      <c r="M40" s="398" t="n">
        <f aca="false">M20*$X20/12*(1+IF(AND(M$33&gt;=$B$8,$Y20=1),$B$7,0))</f>
        <v>4160</v>
      </c>
      <c r="N40" s="398" t="n">
        <f aca="false">N20*$X20/12*(1+IF(AND(N$33&gt;=$B$8,$Y20=1),$B$7,0))</f>
        <v>4160</v>
      </c>
      <c r="O40" s="398" t="n">
        <f aca="false">O20*$X20/12*(1+IF(AND(O$33&gt;=$B$8,$Y20=1),$B$7,0))</f>
        <v>4160</v>
      </c>
      <c r="P40" s="398" t="n">
        <f aca="false">P20*$X20/12*(1+IF(AND(P$33&gt;=$B$8,$Y20=1),$B$7,0))</f>
        <v>4160</v>
      </c>
      <c r="Q40" s="398" t="n">
        <f aca="false">Q20*$X20/12*(1+IF(AND(Q$33&gt;=$B$8,$Y20=1),$B$7,0))</f>
        <v>4160</v>
      </c>
      <c r="R40" s="399" t="n">
        <f aca="false">SUM(B40:E40)</f>
        <v>0</v>
      </c>
      <c r="S40" s="399" t="n">
        <f aca="false">SUM(F40:Q40)</f>
        <v>24960</v>
      </c>
      <c r="T40" s="399"/>
      <c r="U40" s="399"/>
      <c r="V40" s="399"/>
      <c r="W40" s="399"/>
      <c r="X40" s="399"/>
      <c r="Y40" s="399"/>
    </row>
    <row r="41" customFormat="false" ht="15" hidden="false" customHeight="false" outlineLevel="0" collapsed="false">
      <c r="A41" s="372" t="str">
        <f aca="false">$A21</f>
        <v>MH-03 Material Handler</v>
      </c>
      <c r="B41" s="398" t="n">
        <f aca="false">B21*$X21/12*(1+IF(AND(B$33&gt;=$B$8,$Y21=1),$B$7,0))</f>
        <v>0</v>
      </c>
      <c r="C41" s="398" t="n">
        <f aca="false">C21*$X21/12*(1+IF(AND(C$33&gt;=$B$8,$Y21=1),$B$7,0))</f>
        <v>0</v>
      </c>
      <c r="D41" s="398" t="n">
        <f aca="false">D21*$X21/12*(1+IF(AND(D$33&gt;=$B$8,$Y21=1),$B$7,0))</f>
        <v>0</v>
      </c>
      <c r="E41" s="398" t="n">
        <f aca="false">E21*$X21/12*(1+IF(AND(E$33&gt;=$B$8,$Y21=1),$B$7,0))</f>
        <v>0</v>
      </c>
      <c r="F41" s="398" t="n">
        <f aca="false">F21*$X21/12*(1+IF(AND(F$33&gt;=$B$8,$Y21=1),$B$7,0))</f>
        <v>0</v>
      </c>
      <c r="G41" s="398" t="n">
        <f aca="false">G21*$X21/12*(1+IF(AND(G$33&gt;=$B$8,$Y21=1),$B$7,0))</f>
        <v>0</v>
      </c>
      <c r="H41" s="398" t="n">
        <f aca="false">H21*$X21/12*(1+IF(AND(H$33&gt;=$B$8,$Y21=1),$B$7,0))</f>
        <v>4160</v>
      </c>
      <c r="I41" s="398" t="n">
        <f aca="false">I21*$X21/12*(1+IF(AND(I$33&gt;=$B$8,$Y21=1),$B$7,0))</f>
        <v>4160</v>
      </c>
      <c r="J41" s="398" t="n">
        <f aca="false">J21*$X21/12*(1+IF(AND(J$33&gt;=$B$8,$Y21=1),$B$7,0))</f>
        <v>4160</v>
      </c>
      <c r="K41" s="398" t="n">
        <f aca="false">K21*$X21/12*(1+IF(AND(K$33&gt;=$B$8,$Y21=1),$B$7,0))</f>
        <v>4160</v>
      </c>
      <c r="L41" s="398" t="n">
        <f aca="false">L21*$X21/12*(1+IF(AND(L$33&gt;=$B$8,$Y21=1),$B$7,0))</f>
        <v>4160</v>
      </c>
      <c r="M41" s="398" t="n">
        <f aca="false">M21*$X21/12*(1+IF(AND(M$33&gt;=$B$8,$Y21=1),$B$7,0))</f>
        <v>4160</v>
      </c>
      <c r="N41" s="398" t="n">
        <f aca="false">N21*$X21/12*(1+IF(AND(N$33&gt;=$B$8,$Y21=1),$B$7,0))</f>
        <v>4160</v>
      </c>
      <c r="O41" s="398" t="n">
        <f aca="false">O21*$X21/12*(1+IF(AND(O$33&gt;=$B$8,$Y21=1),$B$7,0))</f>
        <v>4284.8</v>
      </c>
      <c r="P41" s="398" t="n">
        <f aca="false">P21*$X21/12*(1+IF(AND(P$33&gt;=$B$8,$Y21=1),$B$7,0))</f>
        <v>4284.8</v>
      </c>
      <c r="Q41" s="398" t="n">
        <f aca="false">Q21*$X21/12*(1+IF(AND(Q$33&gt;=$B$8,$Y21=1),$B$7,0))</f>
        <v>4284.8</v>
      </c>
      <c r="R41" s="399" t="n">
        <f aca="false">SUM(B41:E41)</f>
        <v>0</v>
      </c>
      <c r="S41" s="399" t="n">
        <f aca="false">SUM(F41:Q41)</f>
        <v>41974.4</v>
      </c>
      <c r="T41" s="399"/>
      <c r="U41" s="399"/>
      <c r="V41" s="399"/>
      <c r="W41" s="399"/>
      <c r="X41" s="399"/>
      <c r="Y41" s="399"/>
    </row>
    <row r="42" customFormat="false" ht="15" hidden="false" customHeight="false" outlineLevel="0" collapsed="false">
      <c r="A42" s="372" t="str">
        <f aca="false">$A22</f>
        <v>MH-04 Material Handler</v>
      </c>
      <c r="B42" s="398" t="n">
        <f aca="false">B22*$X22/12*(1+IF(AND(B$33&gt;=$B$8,$Y22=1),$B$7,0))</f>
        <v>0</v>
      </c>
      <c r="C42" s="398" t="n">
        <f aca="false">C22*$X22/12*(1+IF(AND(C$33&gt;=$B$8,$Y22=1),$B$7,0))</f>
        <v>0</v>
      </c>
      <c r="D42" s="398" t="n">
        <f aca="false">D22*$X22/12*(1+IF(AND(D$33&gt;=$B$8,$Y22=1),$B$7,0))</f>
        <v>0</v>
      </c>
      <c r="E42" s="398" t="n">
        <f aca="false">E22*$X22/12*(1+IF(AND(E$33&gt;=$B$8,$Y22=1),$B$7,0))</f>
        <v>0</v>
      </c>
      <c r="F42" s="398" t="n">
        <f aca="false">F22*$X22/12*(1+IF(AND(F$33&gt;=$B$8,$Y22=1),$B$7,0))</f>
        <v>0</v>
      </c>
      <c r="G42" s="398" t="n">
        <f aca="false">G22*$X22/12*(1+IF(AND(G$33&gt;=$B$8,$Y22=1),$B$7,0))</f>
        <v>0</v>
      </c>
      <c r="H42" s="398" t="n">
        <f aca="false">H22*$X22/12*(1+IF(AND(H$33&gt;=$B$8,$Y22=1),$B$7,0))</f>
        <v>0</v>
      </c>
      <c r="I42" s="398" t="n">
        <f aca="false">I22*$X22/12*(1+IF(AND(I$33&gt;=$B$8,$Y22=1),$B$7,0))</f>
        <v>0</v>
      </c>
      <c r="J42" s="398" t="n">
        <f aca="false">J22*$X22/12*(1+IF(AND(J$33&gt;=$B$8,$Y22=1),$B$7,0))</f>
        <v>0</v>
      </c>
      <c r="K42" s="398" t="n">
        <f aca="false">K22*$X22/12*(1+IF(AND(K$33&gt;=$B$8,$Y22=1),$B$7,0))</f>
        <v>4160</v>
      </c>
      <c r="L42" s="398" t="n">
        <f aca="false">L22*$X22/12*(1+IF(AND(L$33&gt;=$B$8,$Y22=1),$B$7,0))</f>
        <v>4160</v>
      </c>
      <c r="M42" s="398" t="n">
        <f aca="false">M22*$X22/12*(1+IF(AND(M$33&gt;=$B$8,$Y22=1),$B$7,0))</f>
        <v>4160</v>
      </c>
      <c r="N42" s="398" t="n">
        <f aca="false">N22*$X22/12*(1+IF(AND(N$33&gt;=$B$8,$Y22=1),$B$7,0))</f>
        <v>4160</v>
      </c>
      <c r="O42" s="398" t="n">
        <f aca="false">O22*$X22/12*(1+IF(AND(O$33&gt;=$B$8,$Y22=1),$B$7,0))</f>
        <v>4160</v>
      </c>
      <c r="P42" s="398" t="n">
        <f aca="false">P22*$X22/12*(1+IF(AND(P$33&gt;=$B$8,$Y22=1),$B$7,0))</f>
        <v>4160</v>
      </c>
      <c r="Q42" s="398" t="n">
        <f aca="false">Q22*$X22/12*(1+IF(AND(Q$33&gt;=$B$8,$Y22=1),$B$7,0))</f>
        <v>4160</v>
      </c>
      <c r="R42" s="399" t="n">
        <f aca="false">SUM(B42:E42)</f>
        <v>0</v>
      </c>
      <c r="S42" s="399" t="n">
        <f aca="false">SUM(F42:Q42)</f>
        <v>29120</v>
      </c>
      <c r="T42" s="399"/>
      <c r="U42" s="399"/>
      <c r="V42" s="399"/>
      <c r="W42" s="399"/>
      <c r="X42" s="399"/>
      <c r="Y42" s="399"/>
    </row>
    <row r="43" customFormat="false" ht="15" hidden="false" customHeight="false" outlineLevel="0" collapsed="false">
      <c r="A43" s="400" t="s">
        <v>2666</v>
      </c>
      <c r="B43" s="401" t="n">
        <f aca="false">SUM(B34:B42)</f>
        <v>14160</v>
      </c>
      <c r="C43" s="401" t="n">
        <f aca="false">SUM(C34:C42)</f>
        <v>18320</v>
      </c>
      <c r="D43" s="401" t="n">
        <f aca="false">SUM(D34:D42)</f>
        <v>18320</v>
      </c>
      <c r="E43" s="401" t="n">
        <f aca="false">SUM(E34:E42)</f>
        <v>22653.3333333333</v>
      </c>
      <c r="F43" s="401" t="n">
        <f aca="false">SUM(F34:F42)</f>
        <v>22653.3333333333</v>
      </c>
      <c r="G43" s="401" t="n">
        <f aca="false">SUM(G34:G42)</f>
        <v>26653.3333333333</v>
      </c>
      <c r="H43" s="401" t="n">
        <f aca="false">SUM(H34:H42)</f>
        <v>30813.3333333333</v>
      </c>
      <c r="I43" s="401" t="n">
        <f aca="false">SUM(I34:I42)</f>
        <v>30813.3333333333</v>
      </c>
      <c r="J43" s="401" t="n">
        <f aca="false">SUM(J34:J42)</f>
        <v>30813.3333333333</v>
      </c>
      <c r="K43" s="401" t="n">
        <f aca="false">SUM(K34:K42)</f>
        <v>34973.3333333333</v>
      </c>
      <c r="L43" s="401" t="n">
        <f aca="false">SUM(L34:L42)</f>
        <v>43466.6666666667</v>
      </c>
      <c r="M43" s="401" t="n">
        <f aca="false">SUM(M34:M42)</f>
        <v>43466.6666666667</v>
      </c>
      <c r="N43" s="401" t="n">
        <f aca="false">SUM(N34:N42)</f>
        <v>43466.6666666667</v>
      </c>
      <c r="O43" s="401" t="n">
        <f aca="false">SUM(O34:O42)</f>
        <v>44391.0666666667</v>
      </c>
      <c r="P43" s="401" t="n">
        <f aca="false">SUM(P34:P42)</f>
        <v>44391.0666666667</v>
      </c>
      <c r="Q43" s="401" t="n">
        <f aca="false">SUM(Q34:Q42)</f>
        <v>44391.0666666667</v>
      </c>
      <c r="R43" s="402" t="n">
        <f aca="false">SUM(B43:E43)</f>
        <v>73453.3333333333</v>
      </c>
      <c r="S43" s="402" t="n">
        <f aca="false">SUM(F43:Q43)</f>
        <v>440293.2</v>
      </c>
      <c r="T43" s="399"/>
      <c r="U43" s="399"/>
      <c r="V43" s="399"/>
      <c r="W43" s="399"/>
      <c r="X43" s="399"/>
      <c r="Y43" s="399"/>
    </row>
    <row r="44" customFormat="false" ht="15" hidden="false" customHeight="false" outlineLevel="0" collapsed="false">
      <c r="A44" s="372" t="s">
        <v>2667</v>
      </c>
      <c r="B44" s="398" t="n">
        <f aca="false">B43*$B$5</f>
        <v>962.88</v>
      </c>
      <c r="C44" s="398" t="n">
        <f aca="false">C43*$B$5</f>
        <v>1245.76</v>
      </c>
      <c r="D44" s="398" t="n">
        <f aca="false">D43*$B$5</f>
        <v>1245.76</v>
      </c>
      <c r="E44" s="398" t="n">
        <f aca="false">E43*$B$5</f>
        <v>1540.42666666667</v>
      </c>
      <c r="F44" s="398" t="n">
        <f aca="false">F43*$B$5</f>
        <v>1540.42666666667</v>
      </c>
      <c r="G44" s="398" t="n">
        <f aca="false">G43*$B$5</f>
        <v>1812.42666666667</v>
      </c>
      <c r="H44" s="398" t="n">
        <f aca="false">H43*$B$5</f>
        <v>2095.30666666667</v>
      </c>
      <c r="I44" s="398" t="n">
        <f aca="false">I43*$B$5</f>
        <v>2095.30666666667</v>
      </c>
      <c r="J44" s="398" t="n">
        <f aca="false">J43*$B$5</f>
        <v>2095.30666666667</v>
      </c>
      <c r="K44" s="398" t="n">
        <f aca="false">K43*$B$5</f>
        <v>2378.18666666667</v>
      </c>
      <c r="L44" s="398" t="n">
        <f aca="false">L43*$B$5</f>
        <v>2955.73333333333</v>
      </c>
      <c r="M44" s="398" t="n">
        <f aca="false">M43*$B$5</f>
        <v>2955.73333333333</v>
      </c>
      <c r="N44" s="398" t="n">
        <f aca="false">N43*$B$5</f>
        <v>2955.73333333333</v>
      </c>
      <c r="O44" s="398" t="n">
        <f aca="false">O43*$B$5</f>
        <v>3018.59253333333</v>
      </c>
      <c r="P44" s="398" t="n">
        <f aca="false">P43*$B$5</f>
        <v>3018.59253333333</v>
      </c>
      <c r="Q44" s="398" t="n">
        <f aca="false">Q43*$B$5</f>
        <v>3018.59253333333</v>
      </c>
      <c r="R44" s="399" t="n">
        <f aca="false">SUM(B44:E44)</f>
        <v>4994.82666666667</v>
      </c>
      <c r="S44" s="399" t="n">
        <f aca="false">SUM(F44:Q44)</f>
        <v>29939.9376</v>
      </c>
      <c r="T44" s="399"/>
      <c r="U44" s="399"/>
      <c r="V44" s="399"/>
      <c r="W44" s="399"/>
      <c r="X44" s="399"/>
      <c r="Y44" s="399"/>
    </row>
    <row r="45" customFormat="false" ht="15" hidden="false" customHeight="false" outlineLevel="0" collapsed="false">
      <c r="A45" s="372" t="s">
        <v>2289</v>
      </c>
      <c r="B45" s="398" t="n">
        <f aca="false">B43*$B$6</f>
        <v>2322.24</v>
      </c>
      <c r="C45" s="398" t="n">
        <f aca="false">C43*$B$6</f>
        <v>3004.48</v>
      </c>
      <c r="D45" s="398" t="n">
        <f aca="false">D43*$B$6</f>
        <v>3004.48</v>
      </c>
      <c r="E45" s="398" t="n">
        <f aca="false">E43*$B$6</f>
        <v>3715.14666666667</v>
      </c>
      <c r="F45" s="398" t="n">
        <f aca="false">F43*$B$6</f>
        <v>3715.14666666667</v>
      </c>
      <c r="G45" s="398" t="n">
        <f aca="false">G43*$B$6</f>
        <v>4371.14666666667</v>
      </c>
      <c r="H45" s="398" t="n">
        <f aca="false">H43*$B$6</f>
        <v>5053.38666666667</v>
      </c>
      <c r="I45" s="398" t="n">
        <f aca="false">I43*$B$6</f>
        <v>5053.38666666667</v>
      </c>
      <c r="J45" s="398" t="n">
        <f aca="false">J43*$B$6</f>
        <v>5053.38666666667</v>
      </c>
      <c r="K45" s="398" t="n">
        <f aca="false">K43*$B$6</f>
        <v>5735.62666666667</v>
      </c>
      <c r="L45" s="398" t="n">
        <f aca="false">L43*$B$6</f>
        <v>7128.53333333333</v>
      </c>
      <c r="M45" s="398" t="n">
        <f aca="false">M43*$B$6</f>
        <v>7128.53333333333</v>
      </c>
      <c r="N45" s="398" t="n">
        <f aca="false">N43*$B$6</f>
        <v>7128.53333333333</v>
      </c>
      <c r="O45" s="398" t="n">
        <f aca="false">O43*$B$6</f>
        <v>7280.13493333333</v>
      </c>
      <c r="P45" s="398" t="n">
        <f aca="false">P43*$B$6</f>
        <v>7280.13493333333</v>
      </c>
      <c r="Q45" s="398" t="n">
        <f aca="false">Q43*$B$6</f>
        <v>7280.13493333333</v>
      </c>
      <c r="R45" s="399" t="n">
        <f aca="false">SUM(B45:E45)</f>
        <v>12046.3466666667</v>
      </c>
      <c r="S45" s="399" t="n">
        <f aca="false">SUM(F45:Q45)</f>
        <v>72208.0848</v>
      </c>
      <c r="T45" s="399"/>
      <c r="U45" s="399"/>
      <c r="V45" s="399"/>
      <c r="W45" s="399"/>
      <c r="X45" s="399"/>
      <c r="Y45" s="399"/>
    </row>
    <row r="46" customFormat="false" ht="15" hidden="false" customHeight="false" outlineLevel="0" collapsed="false">
      <c r="A46" s="372" t="s">
        <v>2674</v>
      </c>
      <c r="B46" s="398" t="n">
        <f aca="false">SUMPRODUCT(($U$14:$U$22&gt;EOMONTH(B$33,-1))*($U$14:$U$22&lt;=B$33))*$B$10</f>
        <v>0</v>
      </c>
      <c r="C46" s="398" t="n">
        <f aca="false">SUMPRODUCT(($U$14:$U$22&gt;EOMONTH(C$33,-1))*($U$14:$U$22&lt;=C$33))*$B$10</f>
        <v>1000</v>
      </c>
      <c r="D46" s="398" t="n">
        <f aca="false">SUMPRODUCT(($U$14:$U$22&gt;EOMONTH(D$33,-1))*($U$14:$U$22&lt;=D$33))*$B$10</f>
        <v>0</v>
      </c>
      <c r="E46" s="398" t="n">
        <f aca="false">SUMPRODUCT(($U$14:$U$22&gt;EOMONTH(E$33,-1))*($U$14:$U$22&lt;=E$33))*$B$10</f>
        <v>1000</v>
      </c>
      <c r="F46" s="398" t="n">
        <f aca="false">SUMPRODUCT(($U$14:$U$22&gt;EOMONTH(F$33,-1))*($U$14:$U$22&lt;=F$33))*$B$10</f>
        <v>0</v>
      </c>
      <c r="G46" s="398" t="n">
        <f aca="false">SUMPRODUCT(($U$14:$U$22&gt;EOMONTH(G$33,-1))*($U$14:$U$22&lt;=G$33))*$B$10</f>
        <v>1000</v>
      </c>
      <c r="H46" s="398" t="n">
        <f aca="false">SUMPRODUCT(($U$14:$U$22&gt;EOMONTH(H$33,-1))*($U$14:$U$22&lt;=H$33))*$B$10</f>
        <v>1000</v>
      </c>
      <c r="I46" s="398" t="n">
        <f aca="false">SUMPRODUCT(($U$14:$U$22&gt;EOMONTH(I$33,-1))*($U$14:$U$22&lt;=I$33))*$B$10</f>
        <v>0</v>
      </c>
      <c r="J46" s="398" t="n">
        <f aca="false">SUMPRODUCT(($U$14:$U$22&gt;EOMONTH(J$33,-1))*($U$14:$U$22&lt;=J$33))*$B$10</f>
        <v>0</v>
      </c>
      <c r="K46" s="398" t="n">
        <f aca="false">SUMPRODUCT(($U$14:$U$22&gt;EOMONTH(K$33,-1))*($U$14:$U$22&lt;=K$33))*$B$10</f>
        <v>1000</v>
      </c>
      <c r="L46" s="398" t="n">
        <f aca="false">SUMPRODUCT(($U$14:$U$22&gt;EOMONTH(L$33,-1))*($U$14:$U$22&lt;=L$33))*$B$10</f>
        <v>2000</v>
      </c>
      <c r="M46" s="398" t="n">
        <f aca="false">SUMPRODUCT(($U$14:$U$22&gt;EOMONTH(M$33,-1))*($U$14:$U$22&lt;=M$33))*$B$10</f>
        <v>0</v>
      </c>
      <c r="N46" s="398" t="n">
        <f aca="false">SUMPRODUCT(($U$14:$U$22&gt;EOMONTH(N$33,-1))*($U$14:$U$22&lt;=N$33))*$B$10</f>
        <v>0</v>
      </c>
      <c r="O46" s="398" t="n">
        <f aca="false">SUMPRODUCT(($U$14:$U$22&gt;EOMONTH(O$33,-1))*($U$14:$U$22&lt;=O$33))*$B$10</f>
        <v>0</v>
      </c>
      <c r="P46" s="398" t="n">
        <f aca="false">SUMPRODUCT(($U$14:$U$22&gt;EOMONTH(P$33,-1))*($U$14:$U$22&lt;=P$33))*$B$10</f>
        <v>0</v>
      </c>
      <c r="Q46" s="398" t="n">
        <f aca="false">SUMPRODUCT(($U$14:$U$22&gt;EOMONTH(Q$33,-1))*($U$14:$U$22&lt;=Q$33))*$B$10</f>
        <v>0</v>
      </c>
      <c r="R46" s="399" t="n">
        <f aca="false">SUM(B46:E46)</f>
        <v>2000</v>
      </c>
      <c r="S46" s="399" t="n">
        <f aca="false">SUM(F46:Q46)</f>
        <v>5000</v>
      </c>
      <c r="T46" s="399"/>
      <c r="U46" s="399"/>
      <c r="V46" s="399"/>
      <c r="W46" s="399"/>
      <c r="X46" s="399"/>
      <c r="Y46" s="399"/>
    </row>
    <row r="47" customFormat="false" ht="15" hidden="false" customHeight="false" outlineLevel="0" collapsed="false">
      <c r="A47" s="394" t="s">
        <v>3193</v>
      </c>
      <c r="B47" s="403" t="n">
        <f aca="false">SUM(B43:B46)</f>
        <v>17445.12</v>
      </c>
      <c r="C47" s="403" t="n">
        <f aca="false">SUM(C43:C46)</f>
        <v>23570.24</v>
      </c>
      <c r="D47" s="403" t="n">
        <f aca="false">SUM(D43:D46)</f>
        <v>22570.24</v>
      </c>
      <c r="E47" s="403" t="n">
        <f aca="false">SUM(E43:E46)</f>
        <v>28908.9066666667</v>
      </c>
      <c r="F47" s="403" t="n">
        <f aca="false">SUM(F43:F46)</f>
        <v>27908.9066666667</v>
      </c>
      <c r="G47" s="403" t="n">
        <f aca="false">SUM(G43:G46)</f>
        <v>33836.9066666667</v>
      </c>
      <c r="H47" s="403" t="n">
        <f aca="false">SUM(H43:H46)</f>
        <v>38962.0266666667</v>
      </c>
      <c r="I47" s="403" t="n">
        <f aca="false">SUM(I43:I46)</f>
        <v>37962.0266666667</v>
      </c>
      <c r="J47" s="403" t="n">
        <f aca="false">SUM(J43:J46)</f>
        <v>37962.0266666667</v>
      </c>
      <c r="K47" s="403" t="n">
        <f aca="false">SUM(K43:K46)</f>
        <v>44087.1466666667</v>
      </c>
      <c r="L47" s="403" t="n">
        <f aca="false">SUM(L43:L46)</f>
        <v>55550.9333333333</v>
      </c>
      <c r="M47" s="403" t="n">
        <f aca="false">SUM(M43:M46)</f>
        <v>53550.9333333333</v>
      </c>
      <c r="N47" s="403" t="n">
        <f aca="false">SUM(N43:N46)</f>
        <v>53550.9333333333</v>
      </c>
      <c r="O47" s="403" t="n">
        <f aca="false">SUM(O43:O46)</f>
        <v>54689.7941333333</v>
      </c>
      <c r="P47" s="403" t="n">
        <f aca="false">SUM(P43:P46)</f>
        <v>54689.7941333333</v>
      </c>
      <c r="Q47" s="403" t="n">
        <f aca="false">SUM(Q43:Q46)</f>
        <v>54689.7941333333</v>
      </c>
      <c r="R47" s="404" t="n">
        <f aca="false">SUM(B47:E47)</f>
        <v>92494.5066666667</v>
      </c>
      <c r="S47" s="404" t="n">
        <f aca="false">SUM(F47:Q47)</f>
        <v>547441.2224</v>
      </c>
      <c r="T47" s="399"/>
      <c r="U47" s="399"/>
      <c r="V47" s="399"/>
      <c r="W47" s="399"/>
      <c r="X47" s="399"/>
      <c r="Y47" s="399"/>
    </row>
    <row r="48" customFormat="false" ht="15" hidden="false" customHeight="false" outlineLevel="0" collapsed="false">
      <c r="A48" s="372"/>
      <c r="B48" s="372"/>
      <c r="C48" s="372"/>
      <c r="D48" s="372"/>
      <c r="E48" s="372"/>
      <c r="F48" s="372"/>
      <c r="G48" s="372"/>
      <c r="H48" s="372"/>
      <c r="I48" s="372"/>
      <c r="J48" s="372"/>
      <c r="K48" s="372"/>
      <c r="L48" s="372"/>
      <c r="M48" s="372"/>
      <c r="N48" s="372"/>
      <c r="O48" s="372"/>
      <c r="P48" s="372"/>
      <c r="Q48" s="372"/>
      <c r="R48" s="372"/>
      <c r="S48" s="372"/>
      <c r="T48" s="372"/>
      <c r="U48" s="372"/>
      <c r="V48" s="372"/>
      <c r="W48" s="372"/>
      <c r="X48" s="372"/>
      <c r="Y48" s="372"/>
    </row>
    <row r="49" customFormat="false" ht="15" hidden="false" customHeight="false" outlineLevel="0" collapsed="false">
      <c r="A49" s="374" t="s">
        <v>3194</v>
      </c>
      <c r="B49" s="381" t="n">
        <f aca="false">DeploySum!B53</f>
        <v>46295</v>
      </c>
      <c r="C49" s="381" t="n">
        <f aca="false">DeploySum!C53</f>
        <v>46326</v>
      </c>
      <c r="D49" s="381" t="n">
        <f aca="false">DeploySum!D53</f>
        <v>46356</v>
      </c>
      <c r="E49" s="381" t="n">
        <f aca="false">DeploySum!E53</f>
        <v>46387</v>
      </c>
      <c r="F49" s="381" t="n">
        <f aca="false">DeploySum!F53</f>
        <v>46418</v>
      </c>
      <c r="G49" s="381" t="n">
        <f aca="false">DeploySum!G53</f>
        <v>46446</v>
      </c>
      <c r="H49" s="381" t="n">
        <f aca="false">DeploySum!H53</f>
        <v>46477</v>
      </c>
      <c r="I49" s="381" t="n">
        <f aca="false">DeploySum!I53</f>
        <v>46507</v>
      </c>
      <c r="J49" s="381" t="n">
        <f aca="false">DeploySum!J53</f>
        <v>46538</v>
      </c>
      <c r="K49" s="381" t="n">
        <f aca="false">DeploySum!K53</f>
        <v>46568</v>
      </c>
      <c r="L49" s="381" t="n">
        <f aca="false">DeploySum!L53</f>
        <v>46599</v>
      </c>
      <c r="M49" s="381" t="n">
        <f aca="false">DeploySum!M53</f>
        <v>46630</v>
      </c>
      <c r="N49" s="381" t="n">
        <f aca="false">DeploySum!N53</f>
        <v>46660</v>
      </c>
      <c r="O49" s="381" t="n">
        <f aca="false">DeploySum!O53</f>
        <v>46691</v>
      </c>
      <c r="P49" s="381" t="n">
        <f aca="false">DeploySum!P53</f>
        <v>46721</v>
      </c>
      <c r="Q49" s="381" t="n">
        <f aca="false">DeploySum!Q53</f>
        <v>46752</v>
      </c>
      <c r="R49" s="382" t="s">
        <v>2664</v>
      </c>
      <c r="S49" s="382" t="s">
        <v>2325</v>
      </c>
      <c r="T49" s="382"/>
      <c r="U49" s="382"/>
      <c r="V49" s="382"/>
      <c r="W49" s="382"/>
      <c r="X49" s="382"/>
      <c r="Y49" s="382"/>
    </row>
    <row r="50" customFormat="false" ht="15" hidden="false" customHeight="false" outlineLevel="0" collapsed="false">
      <c r="A50" s="405" t="s">
        <v>3195</v>
      </c>
      <c r="B50" s="406" t="n">
        <f aca="false">B23</f>
        <v>2</v>
      </c>
      <c r="C50" s="406" t="n">
        <f aca="false">C23</f>
        <v>3</v>
      </c>
      <c r="D50" s="406" t="n">
        <f aca="false">D23</f>
        <v>3</v>
      </c>
      <c r="E50" s="406" t="n">
        <f aca="false">E23</f>
        <v>4</v>
      </c>
      <c r="F50" s="406" t="n">
        <f aca="false">F23</f>
        <v>4</v>
      </c>
      <c r="G50" s="406" t="n">
        <f aca="false">G23</f>
        <v>5</v>
      </c>
      <c r="H50" s="406" t="n">
        <f aca="false">H23</f>
        <v>6</v>
      </c>
      <c r="I50" s="406" t="n">
        <f aca="false">I23</f>
        <v>6</v>
      </c>
      <c r="J50" s="406" t="n">
        <f aca="false">J23</f>
        <v>6</v>
      </c>
      <c r="K50" s="406" t="n">
        <f aca="false">K23</f>
        <v>7</v>
      </c>
      <c r="L50" s="406" t="n">
        <f aca="false">L23</f>
        <v>9</v>
      </c>
      <c r="M50" s="406" t="n">
        <f aca="false">M23</f>
        <v>9</v>
      </c>
      <c r="N50" s="406" t="n">
        <f aca="false">N23</f>
        <v>9</v>
      </c>
      <c r="O50" s="406" t="n">
        <f aca="false">O23</f>
        <v>9</v>
      </c>
      <c r="P50" s="406" t="n">
        <f aca="false">P23</f>
        <v>9</v>
      </c>
      <c r="Q50" s="406" t="n">
        <f aca="false">Q23</f>
        <v>9</v>
      </c>
      <c r="R50" s="397" t="n">
        <f aca="false">E50</f>
        <v>4</v>
      </c>
      <c r="S50" s="397" t="n">
        <f aca="false">Q50</f>
        <v>9</v>
      </c>
      <c r="T50" s="397"/>
      <c r="U50" s="397"/>
      <c r="V50" s="397"/>
      <c r="W50" s="397"/>
      <c r="X50" s="397"/>
      <c r="Y50" s="397"/>
    </row>
    <row r="51" customFormat="false" ht="15" hidden="false" customHeight="false" outlineLevel="0" collapsed="false">
      <c r="A51" s="407" t="s">
        <v>3196</v>
      </c>
      <c r="B51" s="408" t="n">
        <f aca="false">B47</f>
        <v>17445.12</v>
      </c>
      <c r="C51" s="408" t="n">
        <f aca="false">C47</f>
        <v>23570.24</v>
      </c>
      <c r="D51" s="408" t="n">
        <f aca="false">D47</f>
        <v>22570.24</v>
      </c>
      <c r="E51" s="408" t="n">
        <f aca="false">E47</f>
        <v>28908.9066666667</v>
      </c>
      <c r="F51" s="408" t="n">
        <f aca="false">F47</f>
        <v>27908.9066666667</v>
      </c>
      <c r="G51" s="408" t="n">
        <f aca="false">G47</f>
        <v>33836.9066666667</v>
      </c>
      <c r="H51" s="408" t="n">
        <f aca="false">H47</f>
        <v>38962.0266666667</v>
      </c>
      <c r="I51" s="408" t="n">
        <f aca="false">I47</f>
        <v>37962.0266666667</v>
      </c>
      <c r="J51" s="408" t="n">
        <f aca="false">J47</f>
        <v>37962.0266666667</v>
      </c>
      <c r="K51" s="408" t="n">
        <f aca="false">K47</f>
        <v>44087.1466666667</v>
      </c>
      <c r="L51" s="408" t="n">
        <f aca="false">L47</f>
        <v>55550.9333333333</v>
      </c>
      <c r="M51" s="408" t="n">
        <f aca="false">M47</f>
        <v>53550.9333333333</v>
      </c>
      <c r="N51" s="408" t="n">
        <f aca="false">N47</f>
        <v>53550.9333333333</v>
      </c>
      <c r="O51" s="408" t="n">
        <f aca="false">O47</f>
        <v>54689.7941333333</v>
      </c>
      <c r="P51" s="408" t="n">
        <f aca="false">P47</f>
        <v>54689.7941333333</v>
      </c>
      <c r="Q51" s="408" t="n">
        <f aca="false">Q47</f>
        <v>54689.7941333333</v>
      </c>
      <c r="R51" s="399" t="n">
        <f aca="false">SUM(B51:E51)</f>
        <v>92494.5066666667</v>
      </c>
      <c r="S51" s="399" t="n">
        <f aca="false">SUM(F51:Q51)</f>
        <v>547441.2224</v>
      </c>
      <c r="T51" s="399"/>
      <c r="U51" s="399"/>
      <c r="V51" s="399"/>
      <c r="W51" s="399"/>
      <c r="X51" s="399"/>
      <c r="Y51" s="399"/>
    </row>
    <row r="52" customFormat="false" ht="15.75" hidden="false" customHeight="true" outlineLevel="0" collapsed="false">
      <c r="A52" s="372"/>
      <c r="B52" s="372"/>
      <c r="C52" s="372"/>
      <c r="D52" s="372"/>
      <c r="E52" s="372"/>
      <c r="F52" s="372"/>
      <c r="G52" s="372"/>
      <c r="H52" s="372"/>
      <c r="I52" s="372"/>
      <c r="J52" s="372"/>
      <c r="K52" s="372"/>
      <c r="L52" s="372"/>
      <c r="M52" s="372"/>
      <c r="N52" s="372"/>
      <c r="O52" s="372"/>
      <c r="P52" s="372"/>
      <c r="Q52" s="372"/>
      <c r="R52" s="372"/>
      <c r="S52" s="372"/>
      <c r="T52" s="372"/>
      <c r="U52" s="372"/>
      <c r="V52" s="372"/>
      <c r="W52" s="372"/>
      <c r="X52" s="372"/>
      <c r="Y52" s="372"/>
    </row>
    <row r="53" customFormat="false" ht="15.75" hidden="false" customHeight="true" outlineLevel="0" collapsed="false">
      <c r="A53" s="374" t="s">
        <v>3197</v>
      </c>
      <c r="B53" s="374" t="s">
        <v>305</v>
      </c>
      <c r="C53" s="372"/>
      <c r="D53" s="372"/>
      <c r="E53" s="372"/>
      <c r="F53" s="372"/>
      <c r="G53" s="372"/>
      <c r="H53" s="372"/>
      <c r="I53" s="372"/>
      <c r="J53" s="372"/>
      <c r="K53" s="372"/>
      <c r="L53" s="372"/>
      <c r="M53" s="372"/>
      <c r="N53" s="372"/>
      <c r="O53" s="372"/>
      <c r="P53" s="372"/>
      <c r="Q53" s="372"/>
      <c r="R53" s="372"/>
      <c r="S53" s="372"/>
      <c r="T53" s="372"/>
      <c r="U53" s="372"/>
      <c r="V53" s="372"/>
      <c r="W53" s="372"/>
      <c r="X53" s="372"/>
      <c r="Y53" s="372"/>
    </row>
    <row r="54" customFormat="false" ht="15.75" hidden="false" customHeight="true" outlineLevel="0" collapsed="false">
      <c r="A54" s="372" t="s">
        <v>3198</v>
      </c>
      <c r="B54" s="409" t="n">
        <v>538520</v>
      </c>
      <c r="C54" s="372"/>
      <c r="D54" s="372"/>
      <c r="E54" s="372"/>
      <c r="F54" s="372"/>
      <c r="G54" s="372"/>
      <c r="H54" s="372"/>
      <c r="I54" s="372"/>
      <c r="J54" s="372"/>
      <c r="K54" s="372"/>
      <c r="L54" s="372"/>
      <c r="M54" s="372"/>
      <c r="N54" s="372"/>
      <c r="O54" s="372"/>
      <c r="P54" s="372"/>
      <c r="Q54" s="372"/>
      <c r="R54" s="372"/>
      <c r="S54" s="372"/>
      <c r="T54" s="372"/>
      <c r="U54" s="372"/>
      <c r="V54" s="372"/>
      <c r="W54" s="372"/>
      <c r="X54" s="372"/>
      <c r="Y54" s="372"/>
    </row>
    <row r="55" customFormat="false" ht="15.75" hidden="false" customHeight="true" outlineLevel="0" collapsed="false">
      <c r="A55" s="372" t="s">
        <v>3199</v>
      </c>
      <c r="B55" s="409" t="n">
        <v>-75000</v>
      </c>
      <c r="C55" s="372"/>
      <c r="D55" s="372"/>
      <c r="E55" s="372"/>
      <c r="F55" s="372"/>
      <c r="G55" s="372"/>
      <c r="H55" s="372"/>
      <c r="I55" s="372"/>
      <c r="J55" s="372"/>
      <c r="K55" s="372"/>
      <c r="L55" s="372"/>
      <c r="M55" s="372"/>
      <c r="N55" s="372"/>
      <c r="O55" s="372"/>
      <c r="P55" s="372"/>
      <c r="Q55" s="372"/>
      <c r="R55" s="372"/>
      <c r="S55" s="372"/>
      <c r="T55" s="372"/>
      <c r="U55" s="372"/>
      <c r="V55" s="372"/>
      <c r="W55" s="372"/>
      <c r="X55" s="372"/>
      <c r="Y55" s="372"/>
    </row>
    <row r="56" customFormat="false" ht="15.75" hidden="false" customHeight="true" outlineLevel="0" collapsed="false">
      <c r="A56" s="372" t="s">
        <v>3200</v>
      </c>
      <c r="B56" s="409" t="n">
        <v>-38133.3333333333</v>
      </c>
      <c r="C56" s="372"/>
      <c r="D56" s="372"/>
      <c r="E56" s="372"/>
      <c r="F56" s="372"/>
      <c r="G56" s="372"/>
      <c r="H56" s="372"/>
      <c r="I56" s="372"/>
      <c r="J56" s="372"/>
      <c r="K56" s="372"/>
      <c r="L56" s="372"/>
      <c r="M56" s="372"/>
      <c r="N56" s="372"/>
      <c r="O56" s="372"/>
      <c r="P56" s="372"/>
      <c r="Q56" s="372"/>
      <c r="R56" s="372"/>
      <c r="S56" s="372"/>
      <c r="T56" s="372"/>
      <c r="U56" s="372"/>
      <c r="V56" s="372"/>
      <c r="W56" s="372"/>
      <c r="X56" s="372"/>
      <c r="Y56" s="372"/>
    </row>
    <row r="57" customFormat="false" ht="15.75" hidden="false" customHeight="true" outlineLevel="0" collapsed="false">
      <c r="A57" s="372" t="s">
        <v>3201</v>
      </c>
      <c r="B57" s="410" t="n">
        <v>22</v>
      </c>
      <c r="C57" s="372"/>
      <c r="D57" s="372"/>
      <c r="E57" s="372"/>
      <c r="F57" s="372"/>
      <c r="G57" s="372"/>
      <c r="H57" s="372"/>
      <c r="I57" s="372"/>
      <c r="J57" s="372"/>
      <c r="K57" s="372"/>
      <c r="L57" s="372"/>
      <c r="M57" s="372"/>
      <c r="N57" s="372"/>
      <c r="O57" s="372"/>
      <c r="P57" s="372"/>
      <c r="Q57" s="372"/>
      <c r="R57" s="372"/>
      <c r="S57" s="372"/>
      <c r="T57" s="372"/>
      <c r="U57" s="372"/>
      <c r="V57" s="372"/>
      <c r="W57" s="372"/>
      <c r="X57" s="372"/>
      <c r="Y57" s="372"/>
    </row>
    <row r="58" customFormat="false" ht="15.75" hidden="false" customHeight="true" outlineLevel="0" collapsed="false">
      <c r="A58" s="372" t="s">
        <v>3202</v>
      </c>
      <c r="B58" s="411" t="n">
        <f aca="false">SUMPRODUCT(W19:W22-B57,S19:S22)*B11</f>
        <v>12133.3333333333</v>
      </c>
      <c r="C58" s="372"/>
      <c r="D58" s="372"/>
      <c r="E58" s="372"/>
      <c r="F58" s="372"/>
      <c r="G58" s="372"/>
      <c r="H58" s="372"/>
      <c r="I58" s="372"/>
      <c r="J58" s="372"/>
      <c r="K58" s="372"/>
      <c r="L58" s="372"/>
      <c r="M58" s="372"/>
      <c r="N58" s="372"/>
      <c r="O58" s="372"/>
      <c r="P58" s="372"/>
      <c r="Q58" s="372"/>
      <c r="R58" s="372"/>
      <c r="S58" s="372"/>
      <c r="T58" s="372"/>
      <c r="U58" s="372"/>
      <c r="V58" s="372"/>
      <c r="W58" s="372"/>
      <c r="X58" s="372"/>
      <c r="Y58" s="372"/>
    </row>
    <row r="59" customFormat="false" ht="15.75" hidden="false" customHeight="true" outlineLevel="0" collapsed="false">
      <c r="A59" s="372" t="s">
        <v>3203</v>
      </c>
      <c r="B59" s="411" t="n">
        <f aca="false">SUMPRODUCT(X14:X22,S14:S22)</f>
        <v>437520</v>
      </c>
      <c r="C59" s="372"/>
      <c r="D59" s="372"/>
      <c r="E59" s="372"/>
      <c r="F59" s="372"/>
      <c r="G59" s="372"/>
      <c r="H59" s="372"/>
      <c r="I59" s="372"/>
      <c r="J59" s="372"/>
      <c r="K59" s="372"/>
      <c r="L59" s="372"/>
      <c r="M59" s="372"/>
      <c r="N59" s="372"/>
      <c r="O59" s="372"/>
      <c r="P59" s="372"/>
      <c r="Q59" s="372"/>
      <c r="R59" s="372"/>
      <c r="S59" s="372"/>
      <c r="T59" s="372"/>
      <c r="U59" s="372"/>
      <c r="V59" s="372"/>
      <c r="W59" s="372"/>
      <c r="X59" s="372"/>
      <c r="Y59" s="372"/>
    </row>
    <row r="60" customFormat="false" ht="15.75" hidden="false" customHeight="true" outlineLevel="0" collapsed="false">
      <c r="A60" s="394" t="s">
        <v>3204</v>
      </c>
      <c r="B60" s="412" t="n">
        <f aca="false">B59-(B54+B55+B56+B58)</f>
        <v>0</v>
      </c>
      <c r="C60" s="372"/>
      <c r="D60" s="372"/>
      <c r="E60" s="372"/>
      <c r="F60" s="372"/>
      <c r="G60" s="372"/>
      <c r="H60" s="372"/>
      <c r="I60" s="372"/>
      <c r="J60" s="372"/>
      <c r="K60" s="372"/>
      <c r="L60" s="372"/>
      <c r="M60" s="372"/>
      <c r="N60" s="372"/>
      <c r="O60" s="372"/>
      <c r="P60" s="372"/>
      <c r="Q60" s="372"/>
      <c r="R60" s="372"/>
      <c r="S60" s="372"/>
      <c r="T60" s="372"/>
      <c r="U60" s="372"/>
      <c r="V60" s="372"/>
      <c r="W60" s="372"/>
      <c r="X60" s="372"/>
      <c r="Y60" s="372"/>
    </row>
    <row r="61" customFormat="false" ht="15.75" hidden="false" customHeight="true" outlineLevel="0" collapsed="false">
      <c r="A61" s="372"/>
      <c r="B61" s="372"/>
      <c r="C61" s="372"/>
      <c r="D61" s="372"/>
      <c r="E61" s="372"/>
      <c r="F61" s="372"/>
      <c r="G61" s="372"/>
      <c r="H61" s="372"/>
      <c r="I61" s="372"/>
      <c r="J61" s="372"/>
      <c r="K61" s="372"/>
      <c r="L61" s="372"/>
      <c r="M61" s="372"/>
      <c r="N61" s="372"/>
      <c r="O61" s="372"/>
      <c r="P61" s="372"/>
      <c r="Q61" s="372"/>
      <c r="R61" s="372"/>
      <c r="S61" s="372"/>
      <c r="T61" s="372"/>
      <c r="U61" s="372"/>
      <c r="V61" s="372"/>
      <c r="W61" s="372"/>
      <c r="X61" s="372"/>
      <c r="Y61" s="372"/>
    </row>
    <row r="62" customFormat="false" ht="15.75" hidden="false" customHeight="true" outlineLevel="0" collapsed="false">
      <c r="A62" s="374" t="s">
        <v>3205</v>
      </c>
      <c r="B62" s="374"/>
      <c r="C62" s="374"/>
      <c r="D62" s="374"/>
      <c r="E62" s="374"/>
      <c r="F62" s="374"/>
      <c r="G62" s="374"/>
      <c r="H62" s="374"/>
      <c r="I62" s="374"/>
      <c r="J62" s="374"/>
      <c r="K62" s="374"/>
      <c r="L62" s="374"/>
      <c r="M62" s="374"/>
      <c r="N62" s="374"/>
      <c r="O62" s="374"/>
      <c r="P62" s="374"/>
      <c r="Q62" s="374"/>
      <c r="R62" s="374"/>
      <c r="S62" s="374"/>
      <c r="T62" s="372"/>
      <c r="U62" s="372"/>
      <c r="V62" s="372"/>
      <c r="W62" s="372"/>
      <c r="X62" s="372"/>
      <c r="Y62" s="372"/>
    </row>
    <row r="63" customFormat="false" ht="15.75" hidden="false" customHeight="true" outlineLevel="0" collapsed="false">
      <c r="A63" s="413" t="s">
        <v>3206</v>
      </c>
      <c r="B63" s="372"/>
      <c r="C63" s="372"/>
      <c r="D63" s="372"/>
      <c r="E63" s="372"/>
      <c r="F63" s="372"/>
      <c r="G63" s="372"/>
      <c r="H63" s="372"/>
      <c r="I63" s="372"/>
      <c r="J63" s="372"/>
      <c r="K63" s="372"/>
      <c r="L63" s="372"/>
      <c r="M63" s="372"/>
      <c r="N63" s="372"/>
      <c r="O63" s="372"/>
      <c r="P63" s="372"/>
      <c r="Q63" s="372"/>
      <c r="R63" s="372"/>
      <c r="S63" s="372"/>
      <c r="T63" s="372"/>
      <c r="U63" s="372"/>
      <c r="V63" s="372"/>
      <c r="W63" s="372"/>
      <c r="X63" s="372"/>
      <c r="Y63" s="372"/>
    </row>
    <row r="64" customFormat="false" ht="27" hidden="false" customHeight="true" outlineLevel="0" collapsed="false">
      <c r="A64" s="414" t="s">
        <v>3207</v>
      </c>
      <c r="B64" s="414"/>
      <c r="C64" s="414"/>
      <c r="D64" s="414"/>
      <c r="E64" s="414"/>
      <c r="F64" s="414"/>
      <c r="G64" s="414"/>
      <c r="H64" s="414"/>
      <c r="I64" s="414"/>
      <c r="J64" s="414"/>
      <c r="K64" s="414"/>
      <c r="L64" s="414"/>
      <c r="M64" s="414"/>
      <c r="N64" s="414"/>
      <c r="O64" s="414"/>
      <c r="P64" s="414"/>
      <c r="Q64" s="414"/>
      <c r="R64" s="414"/>
      <c r="S64" s="414"/>
      <c r="T64" s="372"/>
      <c r="U64" s="372"/>
      <c r="V64" s="372"/>
      <c r="W64" s="372"/>
      <c r="X64" s="372"/>
      <c r="Y64" s="372"/>
    </row>
    <row r="65" customFormat="false" ht="27" hidden="false" customHeight="true" outlineLevel="0" collapsed="false">
      <c r="A65" s="414" t="s">
        <v>3208</v>
      </c>
      <c r="B65" s="414"/>
      <c r="C65" s="414"/>
      <c r="D65" s="414"/>
      <c r="E65" s="414"/>
      <c r="F65" s="414"/>
      <c r="G65" s="414"/>
      <c r="H65" s="414"/>
      <c r="I65" s="414"/>
      <c r="J65" s="414"/>
      <c r="K65" s="414"/>
      <c r="L65" s="414"/>
      <c r="M65" s="414"/>
      <c r="N65" s="414"/>
      <c r="O65" s="414"/>
      <c r="P65" s="414"/>
      <c r="Q65" s="414"/>
      <c r="R65" s="414"/>
      <c r="S65" s="414"/>
      <c r="T65" s="372"/>
      <c r="U65" s="372"/>
      <c r="V65" s="372"/>
      <c r="W65" s="372"/>
      <c r="X65" s="372"/>
      <c r="Y65" s="372"/>
    </row>
    <row r="66" customFormat="false" ht="27" hidden="false" customHeight="true" outlineLevel="0" collapsed="false">
      <c r="A66" s="414" t="s">
        <v>3209</v>
      </c>
      <c r="B66" s="414"/>
      <c r="C66" s="414"/>
      <c r="D66" s="414"/>
      <c r="E66" s="414"/>
      <c r="F66" s="414"/>
      <c r="G66" s="414"/>
      <c r="H66" s="414"/>
      <c r="I66" s="414"/>
      <c r="J66" s="414"/>
      <c r="K66" s="414"/>
      <c r="L66" s="414"/>
      <c r="M66" s="414"/>
      <c r="N66" s="414"/>
      <c r="O66" s="414"/>
      <c r="P66" s="414"/>
      <c r="Q66" s="414"/>
      <c r="R66" s="414"/>
      <c r="S66" s="414"/>
      <c r="T66" s="372"/>
      <c r="U66" s="372"/>
      <c r="V66" s="372"/>
      <c r="W66" s="372"/>
      <c r="X66" s="372"/>
      <c r="Y66" s="372"/>
    </row>
    <row r="67" customFormat="false" ht="27" hidden="false" customHeight="true" outlineLevel="0" collapsed="false">
      <c r="A67" s="414" t="s">
        <v>3210</v>
      </c>
      <c r="B67" s="414"/>
      <c r="C67" s="414"/>
      <c r="D67" s="414"/>
      <c r="E67" s="414"/>
      <c r="F67" s="414"/>
      <c r="G67" s="414"/>
      <c r="H67" s="414"/>
      <c r="I67" s="414"/>
      <c r="J67" s="414"/>
      <c r="K67" s="414"/>
      <c r="L67" s="414"/>
      <c r="M67" s="414"/>
      <c r="N67" s="414"/>
      <c r="O67" s="414"/>
      <c r="P67" s="414"/>
      <c r="Q67" s="414"/>
      <c r="R67" s="414"/>
      <c r="S67" s="414"/>
      <c r="T67" s="372"/>
      <c r="U67" s="372"/>
      <c r="V67" s="372"/>
      <c r="W67" s="372"/>
      <c r="X67" s="372"/>
      <c r="Y67" s="372"/>
    </row>
    <row r="68" customFormat="false" ht="15.75" hidden="false" customHeight="true" outlineLevel="0" collapsed="false">
      <c r="A68" s="415" t="s">
        <v>3211</v>
      </c>
      <c r="B68" s="414"/>
      <c r="C68" s="414"/>
      <c r="D68" s="414"/>
      <c r="E68" s="414"/>
      <c r="F68" s="414"/>
      <c r="G68" s="414"/>
      <c r="H68" s="414"/>
      <c r="I68" s="414"/>
      <c r="J68" s="414"/>
      <c r="K68" s="414"/>
      <c r="L68" s="414"/>
      <c r="M68" s="414"/>
      <c r="N68" s="414"/>
      <c r="O68" s="414"/>
      <c r="P68" s="414"/>
      <c r="Q68" s="414"/>
      <c r="R68" s="414"/>
      <c r="S68" s="414"/>
      <c r="T68" s="372"/>
      <c r="U68" s="372"/>
      <c r="V68" s="372"/>
      <c r="W68" s="372"/>
      <c r="X68" s="372"/>
      <c r="Y68" s="372"/>
    </row>
    <row r="69" customFormat="false" ht="27" hidden="false" customHeight="true" outlineLevel="0" collapsed="false">
      <c r="A69" s="414" t="s">
        <v>3212</v>
      </c>
      <c r="B69" s="414"/>
      <c r="C69" s="414"/>
      <c r="D69" s="414"/>
      <c r="E69" s="414"/>
      <c r="F69" s="414"/>
      <c r="G69" s="414"/>
      <c r="H69" s="414"/>
      <c r="I69" s="414"/>
      <c r="J69" s="414"/>
      <c r="K69" s="414"/>
      <c r="L69" s="414"/>
      <c r="M69" s="414"/>
      <c r="N69" s="414"/>
      <c r="O69" s="414"/>
      <c r="P69" s="414"/>
      <c r="Q69" s="414"/>
      <c r="R69" s="414"/>
      <c r="S69" s="414"/>
      <c r="T69" s="372"/>
      <c r="U69" s="372"/>
      <c r="V69" s="372"/>
      <c r="W69" s="372"/>
      <c r="X69" s="372"/>
      <c r="Y69" s="372"/>
    </row>
    <row r="70" customFormat="false" ht="27" hidden="false" customHeight="true" outlineLevel="0" collapsed="false">
      <c r="A70" s="414" t="s">
        <v>3213</v>
      </c>
      <c r="B70" s="414"/>
      <c r="C70" s="414"/>
      <c r="D70" s="414"/>
      <c r="E70" s="414"/>
      <c r="F70" s="414"/>
      <c r="G70" s="414"/>
      <c r="H70" s="414"/>
      <c r="I70" s="414"/>
      <c r="J70" s="414"/>
      <c r="K70" s="414"/>
      <c r="L70" s="414"/>
      <c r="M70" s="414"/>
      <c r="N70" s="414"/>
      <c r="O70" s="414"/>
      <c r="P70" s="414"/>
      <c r="Q70" s="414"/>
      <c r="R70" s="414"/>
      <c r="S70" s="414"/>
      <c r="T70" s="372"/>
      <c r="U70" s="372"/>
      <c r="V70" s="372"/>
      <c r="W70" s="372"/>
      <c r="X70" s="372"/>
      <c r="Y70" s="372"/>
    </row>
    <row r="71" customFormat="false" ht="27" hidden="false" customHeight="true" outlineLevel="0" collapsed="false">
      <c r="A71" s="414" t="s">
        <v>3214</v>
      </c>
      <c r="B71" s="414"/>
      <c r="C71" s="414"/>
      <c r="D71" s="414"/>
      <c r="E71" s="414"/>
      <c r="F71" s="414"/>
      <c r="G71" s="414"/>
      <c r="H71" s="414"/>
      <c r="I71" s="414"/>
      <c r="J71" s="414"/>
      <c r="K71" s="414"/>
      <c r="L71" s="414"/>
      <c r="M71" s="414"/>
      <c r="N71" s="414"/>
      <c r="O71" s="414"/>
      <c r="P71" s="414"/>
      <c r="Q71" s="414"/>
      <c r="R71" s="414"/>
      <c r="S71" s="414"/>
      <c r="T71" s="372"/>
      <c r="U71" s="372"/>
      <c r="V71" s="372"/>
      <c r="W71" s="372"/>
      <c r="X71" s="372"/>
      <c r="Y71" s="372"/>
    </row>
    <row r="72" customFormat="false" ht="27" hidden="false" customHeight="true" outlineLevel="0" collapsed="false">
      <c r="A72" s="414" t="s">
        <v>3215</v>
      </c>
      <c r="B72" s="414"/>
      <c r="C72" s="414"/>
      <c r="D72" s="414"/>
      <c r="E72" s="414"/>
      <c r="F72" s="414"/>
      <c r="G72" s="414"/>
      <c r="H72" s="414"/>
      <c r="I72" s="414"/>
      <c r="J72" s="414"/>
      <c r="K72" s="414"/>
      <c r="L72" s="414"/>
      <c r="M72" s="414"/>
      <c r="N72" s="414"/>
      <c r="O72" s="414"/>
      <c r="P72" s="414"/>
      <c r="Q72" s="414"/>
      <c r="R72" s="414"/>
      <c r="S72" s="414"/>
      <c r="T72" s="372"/>
      <c r="U72" s="372"/>
      <c r="V72" s="372"/>
      <c r="W72" s="372"/>
      <c r="X72" s="372"/>
      <c r="Y72" s="372"/>
    </row>
    <row r="73" customFormat="false" ht="27" hidden="false" customHeight="true" outlineLevel="0" collapsed="false">
      <c r="A73" s="414" t="s">
        <v>3216</v>
      </c>
      <c r="B73" s="414"/>
      <c r="C73" s="414"/>
      <c r="D73" s="414"/>
      <c r="E73" s="414"/>
      <c r="F73" s="414"/>
      <c r="G73" s="414"/>
      <c r="H73" s="414"/>
      <c r="I73" s="414"/>
      <c r="J73" s="414"/>
      <c r="K73" s="414"/>
      <c r="L73" s="414"/>
      <c r="M73" s="414"/>
      <c r="N73" s="414"/>
      <c r="O73" s="414"/>
      <c r="P73" s="414"/>
      <c r="Q73" s="414"/>
      <c r="R73" s="414"/>
      <c r="S73" s="414"/>
      <c r="T73" s="372"/>
      <c r="U73" s="372"/>
      <c r="V73" s="372"/>
      <c r="W73" s="372"/>
      <c r="X73" s="372"/>
      <c r="Y73" s="372"/>
    </row>
    <row r="74" customFormat="false" ht="27" hidden="false" customHeight="true" outlineLevel="0" collapsed="false">
      <c r="A74" s="414" t="s">
        <v>3217</v>
      </c>
      <c r="B74" s="414"/>
      <c r="C74" s="414"/>
      <c r="D74" s="414"/>
      <c r="E74" s="414"/>
      <c r="F74" s="414"/>
      <c r="G74" s="414"/>
      <c r="H74" s="414"/>
      <c r="I74" s="414"/>
      <c r="J74" s="414"/>
      <c r="K74" s="414"/>
      <c r="L74" s="414"/>
      <c r="M74" s="414"/>
      <c r="N74" s="414"/>
      <c r="O74" s="414"/>
      <c r="P74" s="414"/>
      <c r="Q74" s="414"/>
      <c r="R74" s="414"/>
      <c r="S74" s="414"/>
      <c r="T74" s="372"/>
      <c r="U74" s="372"/>
      <c r="V74" s="372"/>
      <c r="W74" s="372"/>
      <c r="X74" s="372"/>
      <c r="Y74" s="372"/>
    </row>
    <row r="75" customFormat="false" ht="27" hidden="false" customHeight="true" outlineLevel="0" collapsed="false">
      <c r="A75" s="414" t="s">
        <v>3218</v>
      </c>
      <c r="B75" s="414"/>
      <c r="C75" s="414"/>
      <c r="D75" s="414"/>
      <c r="E75" s="414"/>
      <c r="F75" s="414"/>
      <c r="G75" s="414"/>
      <c r="H75" s="414"/>
      <c r="I75" s="414"/>
      <c r="J75" s="414"/>
      <c r="K75" s="414"/>
      <c r="L75" s="414"/>
      <c r="M75" s="414"/>
      <c r="N75" s="414"/>
      <c r="O75" s="414"/>
      <c r="P75" s="414"/>
      <c r="Q75" s="414"/>
      <c r="R75" s="414"/>
      <c r="S75" s="414"/>
      <c r="T75" s="372"/>
      <c r="U75" s="372"/>
      <c r="V75" s="372"/>
      <c r="W75" s="372"/>
      <c r="X75" s="372"/>
      <c r="Y75" s="372"/>
    </row>
    <row r="76" customFormat="false" ht="27" hidden="false" customHeight="true" outlineLevel="0" collapsed="false">
      <c r="A76" s="414" t="s">
        <v>3219</v>
      </c>
      <c r="B76" s="414"/>
      <c r="C76" s="414"/>
      <c r="D76" s="414"/>
      <c r="E76" s="414"/>
      <c r="F76" s="414"/>
      <c r="G76" s="414"/>
      <c r="H76" s="414"/>
      <c r="I76" s="414"/>
      <c r="J76" s="414"/>
      <c r="K76" s="414"/>
      <c r="L76" s="414"/>
      <c r="M76" s="414"/>
      <c r="N76" s="414"/>
      <c r="O76" s="414"/>
      <c r="P76" s="414"/>
      <c r="Q76" s="414"/>
      <c r="R76" s="414"/>
      <c r="S76" s="414"/>
      <c r="T76" s="372"/>
      <c r="U76" s="372"/>
      <c r="V76" s="372"/>
      <c r="W76" s="372"/>
      <c r="X76" s="372"/>
      <c r="Y76" s="372"/>
    </row>
    <row r="77" customFormat="false" ht="15.75" hidden="false" customHeight="true" outlineLevel="0" collapsed="false">
      <c r="A77" s="372"/>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row>
    <row r="78" customFormat="false" ht="15.75" hidden="false" customHeight="true" outlineLevel="0" collapsed="false">
      <c r="A78" s="372"/>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row>
    <row r="79" customFormat="false" ht="15.75" hidden="false" customHeight="true" outlineLevel="0" collapsed="false">
      <c r="A79" s="372"/>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row>
    <row r="80" customFormat="false" ht="15.75" hidden="false" customHeight="true" outlineLevel="0" collapsed="false">
      <c r="A80" s="372"/>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row>
    <row r="81" customFormat="false" ht="15.75" hidden="false" customHeight="true" outlineLevel="0" collapsed="false">
      <c r="A81" s="372"/>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row>
    <row r="82" customFormat="false" ht="15.75" hidden="false" customHeight="true" outlineLevel="0" collapsed="false">
      <c r="A82" s="372"/>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row>
    <row r="83" customFormat="false" ht="15.75" hidden="false" customHeight="true" outlineLevel="0" collapsed="false">
      <c r="A83" s="372"/>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row>
    <row r="84" customFormat="false" ht="15.75" hidden="false" customHeight="true" outlineLevel="0" collapsed="false">
      <c r="A84" s="372"/>
      <c r="B84" s="372"/>
      <c r="C84" s="372"/>
      <c r="D84" s="372"/>
      <c r="E84" s="372"/>
      <c r="F84" s="372"/>
      <c r="G84" s="372"/>
      <c r="H84" s="372"/>
      <c r="I84" s="372"/>
      <c r="J84" s="372"/>
      <c r="K84" s="372"/>
      <c r="L84" s="372"/>
      <c r="M84" s="372"/>
      <c r="N84" s="372"/>
      <c r="O84" s="372"/>
      <c r="P84" s="372"/>
      <c r="Q84" s="372"/>
      <c r="R84" s="372"/>
      <c r="S84" s="372"/>
      <c r="T84" s="372"/>
      <c r="U84" s="372"/>
      <c r="V84" s="372"/>
      <c r="W84" s="372"/>
      <c r="X84" s="372"/>
      <c r="Y84" s="372"/>
    </row>
    <row r="85" customFormat="false" ht="15.75" hidden="false" customHeight="true" outlineLevel="0" collapsed="false">
      <c r="A85" s="372"/>
      <c r="B85" s="372"/>
      <c r="C85" s="372"/>
      <c r="D85" s="372"/>
      <c r="E85" s="372"/>
      <c r="F85" s="372"/>
      <c r="G85" s="372"/>
      <c r="H85" s="372"/>
      <c r="I85" s="372"/>
      <c r="J85" s="372"/>
      <c r="K85" s="372"/>
      <c r="L85" s="372"/>
      <c r="M85" s="372"/>
      <c r="N85" s="372"/>
      <c r="O85" s="372"/>
      <c r="P85" s="372"/>
      <c r="Q85" s="372"/>
      <c r="R85" s="372"/>
      <c r="S85" s="372"/>
      <c r="T85" s="372"/>
      <c r="U85" s="372"/>
      <c r="V85" s="372"/>
      <c r="W85" s="372"/>
      <c r="X85" s="372"/>
      <c r="Y85" s="372"/>
    </row>
    <row r="86" customFormat="false" ht="15.75" hidden="false" customHeight="true" outlineLevel="0" collapsed="false">
      <c r="A86" s="372"/>
      <c r="B86" s="372"/>
      <c r="C86" s="372"/>
      <c r="D86" s="372"/>
      <c r="E86" s="372"/>
      <c r="F86" s="372"/>
      <c r="G86" s="372"/>
      <c r="H86" s="372"/>
      <c r="I86" s="372"/>
      <c r="J86" s="372"/>
      <c r="K86" s="372"/>
      <c r="L86" s="372"/>
      <c r="M86" s="372"/>
      <c r="N86" s="372"/>
      <c r="O86" s="372"/>
      <c r="P86" s="372"/>
      <c r="Q86" s="372"/>
      <c r="R86" s="372"/>
      <c r="S86" s="372"/>
      <c r="T86" s="372"/>
      <c r="U86" s="372"/>
      <c r="V86" s="372"/>
      <c r="W86" s="372"/>
      <c r="X86" s="372"/>
      <c r="Y86" s="372"/>
    </row>
    <row r="87" customFormat="false" ht="15.75" hidden="false" customHeight="true" outlineLevel="0" collapsed="false">
      <c r="A87" s="372"/>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row>
  </sheetData>
  <mergeCells count="13">
    <mergeCell ref="A2:S2"/>
    <mergeCell ref="A64:S64"/>
    <mergeCell ref="A65:S65"/>
    <mergeCell ref="A66:S66"/>
    <mergeCell ref="A67:S67"/>
    <mergeCell ref="A69:S69"/>
    <mergeCell ref="A70:S70"/>
    <mergeCell ref="A71:S71"/>
    <mergeCell ref="A72:S72"/>
    <mergeCell ref="A73:S73"/>
    <mergeCell ref="A74:S74"/>
    <mergeCell ref="A75:S75"/>
    <mergeCell ref="A76:S7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